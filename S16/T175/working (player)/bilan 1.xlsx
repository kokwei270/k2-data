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" sheetId="1" state="visible" r:id="rId3"/>
    <sheet name="review" sheetId="2" state="visible" r:id="rId4"/>
  </sheets>
  <definedNames>
    <definedName function="false" hidden="true" localSheetId="0" name="_xlnm._FilterDatabase" vbProcedure="false">Bilan!$D$5:$Z$1048576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<sst xmlns="http://schemas.openxmlformats.org/spreadsheetml/2006/main" count="503" uniqueCount="99">
  <si>
    <t xml:space="preserve">Distribution errors :</t>
  </si>
  <si>
    <t xml:space="preserve">Production errors :</t>
  </si>
  <si>
    <t xml:space="preserve">factory</t>
  </si>
  <si>
    <t xml:space="preserve">storage</t>
  </si>
  <si>
    <t xml:space="preserve">distribution</t>
  </si>
  <si>
    <t xml:space="preserve">driving</t>
  </si>
  <si>
    <t xml:space="preserve">costs</t>
  </si>
  <si>
    <t xml:space="preserve">purchase</t>
  </si>
  <si>
    <t xml:space="preserve">End of period 0</t>
  </si>
  <si>
    <t xml:space="preserve">End of period 1</t>
  </si>
  <si>
    <t xml:space="preserve">factory
stock</t>
  </si>
  <si>
    <t xml:space="preserve">factory
time</t>
  </si>
  <si>
    <t xml:space="preserve">misc
cost</t>
  </si>
  <si>
    <t xml:space="preserve">total</t>
  </si>
  <si>
    <t xml:space="preserve">warehouse
stock</t>
  </si>
  <si>
    <t xml:space="preserve">warehouse
sales</t>
  </si>
  <si>
    <t xml:space="preserve">unit
cost</t>
  </si>
  <si>
    <t xml:space="preserve">qty</t>
  </si>
  <si>
    <t xml:space="preserve">shipping</t>
  </si>
  <si>
    <t xml:space="preserve">cost</t>
  </si>
  <si>
    <t xml:space="preserve">co2</t>
  </si>
  <si>
    <t xml:space="preserve">Account</t>
  </si>
  <si>
    <t xml:space="preserve">-</t>
  </si>
  <si>
    <t xml:space="preserve">cumulative result</t>
  </si>
  <si>
    <t xml:space="preserve">x</t>
  </si>
  <si>
    <t xml:space="preserve">cumulative CO2</t>
  </si>
  <si>
    <t xml:space="preserve">ok</t>
  </si>
  <si>
    <t xml:space="preserve">Auckland factory</t>
  </si>
  <si>
    <t xml:space="preserve">concentrate (bin)</t>
  </si>
  <si>
    <t xml:space="preserve">puree (bin)</t>
  </si>
  <si>
    <t xml:space="preserve">staff</t>
  </si>
  <si>
    <t xml:space="preserve">Time not used</t>
  </si>
  <si>
    <t xml:space="preserve">Puree sale</t>
  </si>
  <si>
    <t xml:space="preserve">no decision</t>
  </si>
  <si>
    <t xml:space="preserve">Concentrate sale</t>
  </si>
  <si>
    <t xml:space="preserve">production cost (wages excluded)</t>
  </si>
  <si>
    <t xml:space="preserve">concentrate storage cost</t>
  </si>
  <si>
    <t xml:space="preserve">puree storage cost</t>
  </si>
  <si>
    <t xml:space="preserve">Hiring cost</t>
  </si>
  <si>
    <t xml:space="preserve">Laying-off cost</t>
  </si>
  <si>
    <t xml:space="preserve">wages cost</t>
  </si>
  <si>
    <t xml:space="preserve">CO2 production</t>
  </si>
  <si>
    <t xml:space="preserve">Intercontinental transport</t>
  </si>
  <si>
    <t xml:space="preserve">Intercontinental transport cost</t>
  </si>
  <si>
    <t xml:space="preserve">Purchasing</t>
  </si>
  <si>
    <t xml:space="preserve">Puree Purchasing cost</t>
  </si>
  <si>
    <t xml:space="preserve">concentrate Purchasing cost</t>
  </si>
  <si>
    <t xml:space="preserve">Pack Purchasing cost</t>
  </si>
  <si>
    <t xml:space="preserve">bottles Purchasing cost</t>
  </si>
  <si>
    <t xml:space="preserve">Sugar Purchasing cost</t>
  </si>
  <si>
    <t xml:space="preserve">CO2 from puree purchasing</t>
  </si>
  <si>
    <t xml:space="preserve">CO2 from concentrate purchasing</t>
  </si>
  <si>
    <t xml:space="preserve">CO2 from pack purchasing</t>
  </si>
  <si>
    <t xml:space="preserve">CO2 from bottle purchasing</t>
  </si>
  <si>
    <t xml:space="preserve">CO2 from sugar purchasing</t>
  </si>
  <si>
    <t xml:space="preserve">Arnhem factory</t>
  </si>
  <si>
    <t xml:space="preserve">nectar (pallet)</t>
  </si>
  <si>
    <t xml:space="preserve">nectar (vat)</t>
  </si>
  <si>
    <t xml:space="preserve">cordial (pallet)</t>
  </si>
  <si>
    <t xml:space="preserve">pack (batch)</t>
  </si>
  <si>
    <t xml:space="preserve">cost of nectar pallets storage</t>
  </si>
  <si>
    <t xml:space="preserve">cost of nectar vats storage</t>
  </si>
  <si>
    <t xml:space="preserve">cost of cordial pallets storage</t>
  </si>
  <si>
    <t xml:space="preserve">pack storage cost</t>
  </si>
  <si>
    <t xml:space="preserve">Vesoul factory</t>
  </si>
  <si>
    <t xml:space="preserve">cordial (vat)</t>
  </si>
  <si>
    <t xml:space="preserve">sugar (tonne)</t>
  </si>
  <si>
    <t xml:space="preserve">bottle (batch)</t>
  </si>
  <si>
    <t xml:space="preserve">cost of cordial vats storage</t>
  </si>
  <si>
    <t xml:space="preserve">sugar storage cost</t>
  </si>
  <si>
    <t xml:space="preserve">bottles storage cost</t>
  </si>
  <si>
    <t xml:space="preserve">Lorry 1</t>
  </si>
  <si>
    <t xml:space="preserve">volume (pallet)</t>
  </si>
  <si>
    <t xml:space="preserve">weight (tonne)</t>
  </si>
  <si>
    <t xml:space="preserve">distance (km)</t>
  </si>
  <si>
    <t xml:space="preserve">transport cost</t>
  </si>
  <si>
    <t xml:space="preserve">Lorry 2</t>
  </si>
  <si>
    <t xml:space="preserve">Lorry 3</t>
  </si>
  <si>
    <t xml:space="preserve">Paris</t>
  </si>
  <si>
    <t xml:space="preserve">nectar turnover</t>
  </si>
  <si>
    <t xml:space="preserve">cordial turnover</t>
  </si>
  <si>
    <t xml:space="preserve">nectar needs (pallet)</t>
  </si>
  <si>
    <t xml:space="preserve">cordial needs (pallet)</t>
  </si>
  <si>
    <t xml:space="preserve">nectar sales (pallet)</t>
  </si>
  <si>
    <t xml:space="preserve">cordial sales (pallet)</t>
  </si>
  <si>
    <t xml:space="preserve">Rauma</t>
  </si>
  <si>
    <t xml:space="preserve">Madrid</t>
  </si>
  <si>
    <t xml:space="preserve">Milan</t>
  </si>
  <si>
    <t xml:space="preserve">Rome</t>
  </si>
  <si>
    <t xml:space="preserve">Bucharest</t>
  </si>
  <si>
    <t xml:space="preserve">Budapest</t>
  </si>
  <si>
    <t xml:space="preserve">Kemijarvi</t>
  </si>
  <si>
    <t xml:space="preserve">Warsaw</t>
  </si>
  <si>
    <t xml:space="preserve">Berlin</t>
  </si>
  <si>
    <t xml:space="preserve">Turnover</t>
  </si>
  <si>
    <t xml:space="preserve">Cost</t>
  </si>
  <si>
    <t xml:space="preserve">Result</t>
  </si>
  <si>
    <t xml:space="preserve">CO2 cost</t>
  </si>
  <si>
    <t xml:space="preserve">Total: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</si>
</sst>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#,##0&quot; €&quot;"/>
    <numFmt numFmtId="168" formatCode="0.0&quot; kg&quot;"/>
    <numFmt numFmtId="169" formatCode="0.00&quot; h&quot;"/>
    <numFmt numFmtId="170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10">
    <dxf>
      <fill>
        <patternFill patternType="solid">
          <fgColor rgb="FFCCCC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006600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ont>
        <color rgb="FF006600"/>
      </font>
      <fill>
        <patternFill>
          <bgColor rgb="FFCCFFCC"/>
        </patternFill>
      </fill>
    </dxf>
    <dxf>
      <font>
        <color rgb="FFCC0000"/>
      </font>
      <fill>
        <patternFill>
          <bgColor rgb="FFFFCCCC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41"/>
  <sheetViews>
    <sheetView showFormulas="false" showGridLines="true" showRowColHeaders="true" showZeros="true" rightToLeft="false" tabSelected="true" showOutlineSymbols="true" defaultGridColor="true" view="normal" topLeftCell="A4" colorId="64" zoomScale="130" zoomScaleNormal="130" zoomScalePageLayoutView="100" workbookViewId="0">
      <pane xSplit="6" ySplit="2" topLeftCell="G228" activePane="bottomRight" state="frozen"/>
      <selection pane="topLeft" activeCell="A4" activeCellId="0" sqref="A4"/>
      <selection pane="topRight" activeCell="G4" activeCellId="0" sqref="G4"/>
      <selection pane="bottomLeft" activeCell="A228" activeCellId="0" sqref="A228"/>
      <selection pane="bottomRight" activeCell="G239" activeCellId="0" sqref="G239"/>
    </sheetView>
  </sheetViews>
  <sheetFormatPr defaultColWidth="19.83984375" defaultRowHeight="12.8" zeroHeight="false" outlineLevelRow="1" outlineLevelCol="1"/>
  <cols>
    <col collapsed="false" customWidth="true" hidden="false" outlineLevel="0" max="1" min="1" style="1" width="20.75"/>
    <col collapsed="false" customWidth="true" hidden="false" outlineLevel="0" max="2" min="2" style="2" width="2.5"/>
    <col collapsed="false" customWidth="true" hidden="false" outlineLevel="0" max="3" min="3" style="2" width="4.17"/>
    <col collapsed="false" customWidth="true" hidden="false" outlineLevel="0" max="4" min="4" style="2" width="13.7"/>
    <col collapsed="false" customWidth="true" hidden="false" outlineLevel="0" max="5" min="5" style="2" width="14.4"/>
    <col collapsed="false" customWidth="true" hidden="false" outlineLevel="0" max="6" min="6" style="3" width="3.37"/>
    <col collapsed="false" customWidth="true" hidden="false" outlineLevel="0" max="7" min="7" style="1" width="10.53"/>
    <col collapsed="false" customWidth="true" hidden="false" outlineLevel="0" max="8" min="8" style="4" width="8.56"/>
    <col collapsed="false" customWidth="true" hidden="false" outlineLevel="0" max="9" min="9" style="2" width="3.97"/>
    <col collapsed="false" customWidth="true" hidden="false" outlineLevel="1" max="10" min="10" style="2" width="7.17"/>
    <col collapsed="false" customWidth="true" hidden="false" outlineLevel="1" max="11" min="11" style="2" width="8.96"/>
    <col collapsed="false" customWidth="true" hidden="false" outlineLevel="1" max="12" min="12" style="2" width="10.45"/>
    <col collapsed="false" customWidth="true" hidden="false" outlineLevel="1" max="13" min="13" style="2" width="6.68"/>
    <col collapsed="false" customWidth="true" hidden="false" outlineLevel="1" max="14" min="14" style="5" width="6.68"/>
    <col collapsed="false" customWidth="true" hidden="false" outlineLevel="0" max="15" min="15" style="6" width="3.37"/>
    <col collapsed="false" customWidth="true" hidden="false" outlineLevel="0" max="16" min="16" style="7" width="3.47"/>
    <col collapsed="false" customWidth="true" hidden="false" outlineLevel="1" max="18" min="17" style="7" width="10.95"/>
    <col collapsed="false" customWidth="true" hidden="false" outlineLevel="1" max="19" min="19" style="7" width="4.87"/>
    <col collapsed="false" customWidth="true" hidden="false" outlineLevel="1" max="20" min="20" style="7" width="3.9"/>
    <col collapsed="false" customWidth="true" hidden="false" outlineLevel="1" max="21" min="21" style="7" width="4.87"/>
    <col collapsed="false" customWidth="true" hidden="false" outlineLevel="1" max="22" min="22" style="7" width="10.2"/>
    <col collapsed="false" customWidth="true" hidden="false" outlineLevel="0" max="23" min="23" style="6" width="3.52"/>
    <col collapsed="false" customWidth="true" hidden="false" outlineLevel="0" max="24" min="24" style="8" width="10.2"/>
    <col collapsed="false" customWidth="true" hidden="false" outlineLevel="0" max="25" min="25" style="8" width="8.87"/>
    <col collapsed="false" customWidth="true" hidden="false" outlineLevel="0" max="26" min="26" style="8" width="8.66"/>
    <col collapsed="false" customWidth="true" hidden="false" outlineLevel="0" max="16384" min="16383" style="0" width="11.53"/>
  </cols>
  <sheetData>
    <row r="1" customFormat="false" ht="12.8" hidden="false" customHeight="false" outlineLevel="0" collapsed="false">
      <c r="A1" s="1" t="s">
        <v>0</v>
      </c>
      <c r="B1" s="1" t="n">
        <v>1</v>
      </c>
    </row>
    <row r="2" customFormat="false" ht="12.8" hidden="false" customHeight="false" outlineLevel="0" collapsed="false">
      <c r="A2" s="1" t="s">
        <v>1</v>
      </c>
      <c r="B2" s="1" t="n">
        <v>0</v>
      </c>
    </row>
    <row r="4" s="16" customFormat="true" ht="12.8" hidden="false" customHeight="false" outlineLevel="0" collapsed="false">
      <c r="A4" s="9"/>
      <c r="B4" s="10"/>
      <c r="C4" s="10"/>
      <c r="D4" s="10"/>
      <c r="E4" s="10"/>
      <c r="F4" s="11"/>
      <c r="G4" s="9"/>
      <c r="H4" s="12"/>
      <c r="I4" s="9" t="s">
        <v>2</v>
      </c>
      <c r="J4" s="10"/>
      <c r="K4" s="10"/>
      <c r="L4" s="10"/>
      <c r="M4" s="13" t="s">
        <v>3</v>
      </c>
      <c r="N4" s="14"/>
      <c r="O4" s="15"/>
      <c r="P4" s="16" t="s">
        <v>4</v>
      </c>
      <c r="S4" s="13" t="s">
        <v>3</v>
      </c>
      <c r="T4" s="13"/>
      <c r="U4" s="13"/>
      <c r="V4" s="16" t="s">
        <v>5</v>
      </c>
      <c r="W4" s="15"/>
      <c r="X4" s="17" t="s">
        <v>6</v>
      </c>
      <c r="Y4" s="18" t="s">
        <v>7</v>
      </c>
      <c r="Z4" s="18"/>
    </row>
    <row r="5" customFormat="false" ht="68.3" hidden="false" customHeight="false" outlineLevel="0" collapsed="false">
      <c r="D5" s="2" t="s">
        <v>8</v>
      </c>
      <c r="E5" s="2" t="s">
        <v>9</v>
      </c>
      <c r="J5" s="19" t="s">
        <v>10</v>
      </c>
      <c r="K5" s="19" t="s">
        <v>11</v>
      </c>
      <c r="L5" s="19" t="s">
        <v>12</v>
      </c>
      <c r="M5" s="2" t="s">
        <v>13</v>
      </c>
      <c r="Q5" s="20" t="s">
        <v>14</v>
      </c>
      <c r="R5" s="20" t="s">
        <v>15</v>
      </c>
      <c r="S5" s="19" t="s">
        <v>16</v>
      </c>
      <c r="T5" s="2" t="s">
        <v>17</v>
      </c>
      <c r="U5" s="2" t="s">
        <v>13</v>
      </c>
      <c r="V5" s="7" t="s">
        <v>6</v>
      </c>
      <c r="X5" s="21" t="s">
        <v>18</v>
      </c>
      <c r="Y5" s="21" t="s">
        <v>19</v>
      </c>
      <c r="Z5" s="21" t="s">
        <v>20</v>
      </c>
    </row>
    <row r="6" customFormat="false" ht="12.8" hidden="false" customHeight="false" outlineLevel="0" collapsed="false">
      <c r="A6" s="9" t="s">
        <v>21</v>
      </c>
      <c r="F6" s="3" t="s">
        <v>22</v>
      </c>
    </row>
    <row r="7" customFormat="false" ht="12.8" hidden="false" customHeight="false" outlineLevel="0" collapsed="false">
      <c r="A7" s="1" t="s">
        <v>23</v>
      </c>
      <c r="D7" s="22" t="s">
        <v>24</v>
      </c>
      <c r="E7" s="22" t="n">
        <v>123035</v>
      </c>
      <c r="G7" s="1" t="s">
        <v>13</v>
      </c>
    </row>
    <row r="8" customFormat="false" ht="12.8" hidden="false" customHeight="false" outlineLevel="0" collapsed="false">
      <c r="A8" s="1" t="s">
        <v>25</v>
      </c>
      <c r="D8" s="23"/>
      <c r="E8" s="23" t="n">
        <v>202927.64</v>
      </c>
      <c r="F8" s="3" t="s">
        <v>26</v>
      </c>
      <c r="G8" s="1" t="s">
        <v>13</v>
      </c>
    </row>
    <row r="9" customFormat="false" ht="12.8" hidden="false" customHeight="false" outlineLevel="0" collapsed="false">
      <c r="F9" s="3" t="s">
        <v>22</v>
      </c>
    </row>
    <row r="10" customFormat="false" ht="12.8" hidden="false" customHeight="false" outlineLevel="0" collapsed="false">
      <c r="A10" s="9" t="s">
        <v>27</v>
      </c>
      <c r="F10" s="3" t="s">
        <v>22</v>
      </c>
    </row>
    <row r="11" customFormat="false" ht="12.8" hidden="false" customHeight="false" outlineLevel="1" collapsed="false">
      <c r="A11" s="1" t="s">
        <v>28</v>
      </c>
      <c r="D11" s="2" t="n">
        <v>15</v>
      </c>
      <c r="E11" s="2" t="n">
        <v>10</v>
      </c>
      <c r="F11" s="3" t="s">
        <v>26</v>
      </c>
      <c r="J11" s="2" t="n">
        <f aca="false">$E11</f>
        <v>10</v>
      </c>
    </row>
    <row r="12" customFormat="false" ht="12.8" hidden="false" customHeight="false" outlineLevel="1" collapsed="false">
      <c r="A12" s="1" t="s">
        <v>29</v>
      </c>
      <c r="D12" s="2" t="n">
        <v>60</v>
      </c>
      <c r="E12" s="2" t="n">
        <v>60</v>
      </c>
      <c r="F12" s="3" t="s">
        <v>26</v>
      </c>
      <c r="J12" s="2" t="n">
        <f aca="false">$E12</f>
        <v>60</v>
      </c>
    </row>
    <row r="13" customFormat="false" ht="12.8" hidden="false" customHeight="false" outlineLevel="1" collapsed="false">
      <c r="A13" s="1" t="s">
        <v>30</v>
      </c>
      <c r="D13" s="2" t="n">
        <v>5</v>
      </c>
      <c r="E13" s="2" t="n">
        <v>5</v>
      </c>
      <c r="F13" s="3" t="s">
        <v>26</v>
      </c>
      <c r="K13" s="2" t="n">
        <f aca="false">E13</f>
        <v>5</v>
      </c>
    </row>
    <row r="14" customFormat="false" ht="12.8" hidden="false" customHeight="false" outlineLevel="1" collapsed="false">
      <c r="A14" s="1" t="s">
        <v>31</v>
      </c>
      <c r="D14" s="24"/>
      <c r="E14" s="24" t="n">
        <v>250</v>
      </c>
      <c r="F14" s="3" t="s">
        <v>26</v>
      </c>
      <c r="K14" s="24" t="n">
        <f aca="false">E14</f>
        <v>250</v>
      </c>
    </row>
    <row r="15" customFormat="false" ht="12.8" hidden="false" customHeight="false" outlineLevel="1" collapsed="false">
      <c r="A15" s="1" t="s">
        <v>32</v>
      </c>
      <c r="D15" s="22"/>
      <c r="E15" s="25" t="n">
        <v>0</v>
      </c>
      <c r="F15" s="3" t="s">
        <v>22</v>
      </c>
      <c r="G15" s="1" t="s">
        <v>33</v>
      </c>
    </row>
    <row r="16" customFormat="false" ht="12.8" hidden="false" customHeight="false" outlineLevel="1" collapsed="false">
      <c r="A16" s="1" t="s">
        <v>34</v>
      </c>
      <c r="D16" s="22"/>
      <c r="E16" s="25" t="n">
        <v>0</v>
      </c>
      <c r="F16" s="3" t="s">
        <v>22</v>
      </c>
      <c r="G16" s="1" t="s">
        <v>33</v>
      </c>
    </row>
    <row r="17" customFormat="false" ht="12.8" hidden="false" customHeight="false" outlineLevel="1" collapsed="false">
      <c r="A17" s="1" t="s">
        <v>35</v>
      </c>
      <c r="D17" s="22"/>
      <c r="E17" s="22" t="n">
        <v>100000</v>
      </c>
      <c r="F17" s="3" t="s">
        <v>26</v>
      </c>
      <c r="L17" s="22" t="n">
        <f aca="false">E17</f>
        <v>100000</v>
      </c>
    </row>
    <row r="18" customFormat="false" ht="12.8" hidden="false" customHeight="false" outlineLevel="1" collapsed="false">
      <c r="A18" s="1" t="s">
        <v>36</v>
      </c>
      <c r="D18" s="22"/>
      <c r="E18" s="22" t="n">
        <v>0</v>
      </c>
      <c r="F18" s="3" t="s">
        <v>24</v>
      </c>
      <c r="G18" s="1" t="s">
        <v>3</v>
      </c>
      <c r="H18" s="4" t="n">
        <f aca="false">E18</f>
        <v>0</v>
      </c>
      <c r="M18" s="22" t="n">
        <f aca="false">E18</f>
        <v>0</v>
      </c>
    </row>
    <row r="19" customFormat="false" ht="12.8" hidden="false" customHeight="false" outlineLevel="1" collapsed="false">
      <c r="A19" s="1" t="s">
        <v>37</v>
      </c>
      <c r="D19" s="22"/>
      <c r="E19" s="22" t="n">
        <v>800</v>
      </c>
      <c r="F19" s="3" t="s">
        <v>24</v>
      </c>
      <c r="G19" s="1" t="s">
        <v>3</v>
      </c>
      <c r="H19" s="4" t="n">
        <f aca="false">E19</f>
        <v>800</v>
      </c>
      <c r="M19" s="22" t="n">
        <f aca="false">E19</f>
        <v>800</v>
      </c>
    </row>
    <row r="20" customFormat="false" ht="12.8" hidden="false" customHeight="false" outlineLevel="1" collapsed="false">
      <c r="A20" s="1" t="s">
        <v>38</v>
      </c>
      <c r="D20" s="22"/>
      <c r="E20" s="25" t="n">
        <v>0</v>
      </c>
      <c r="F20" s="3" t="s">
        <v>22</v>
      </c>
      <c r="G20" s="1" t="s">
        <v>33</v>
      </c>
    </row>
    <row r="21" customFormat="false" ht="12.8" hidden="false" customHeight="false" outlineLevel="1" collapsed="false">
      <c r="A21" s="1" t="s">
        <v>39</v>
      </c>
      <c r="D21" s="22"/>
      <c r="E21" s="25" t="n">
        <v>0</v>
      </c>
      <c r="F21" s="3" t="s">
        <v>22</v>
      </c>
      <c r="G21" s="1" t="s">
        <v>33</v>
      </c>
    </row>
    <row r="22" customFormat="false" ht="12.8" hidden="false" customHeight="false" outlineLevel="1" collapsed="false">
      <c r="A22" s="1" t="s">
        <v>40</v>
      </c>
      <c r="D22" s="22"/>
      <c r="E22" s="22" t="n">
        <v>15000</v>
      </c>
      <c r="F22" s="3" t="s">
        <v>26</v>
      </c>
      <c r="L22" s="22" t="n">
        <f aca="false">E22</f>
        <v>15000</v>
      </c>
    </row>
    <row r="23" customFormat="false" ht="12.8" hidden="false" customHeight="false" outlineLevel="1" collapsed="false">
      <c r="A23" s="1" t="s">
        <v>41</v>
      </c>
      <c r="D23" s="23"/>
      <c r="E23" s="23" t="n">
        <v>100000</v>
      </c>
      <c r="F23" s="3" t="s">
        <v>26</v>
      </c>
      <c r="L23" s="22" t="n">
        <f aca="false">E23</f>
        <v>100000</v>
      </c>
    </row>
    <row r="24" customFormat="false" ht="12.8" hidden="false" customHeight="false" outlineLevel="1" collapsed="false">
      <c r="F24" s="3" t="s">
        <v>22</v>
      </c>
    </row>
    <row r="25" customFormat="false" ht="12.8" hidden="false" customHeight="false" outlineLevel="0" collapsed="false">
      <c r="A25" s="9" t="s">
        <v>42</v>
      </c>
      <c r="F25" s="3" t="s">
        <v>26</v>
      </c>
    </row>
    <row r="26" customFormat="false" ht="12.8" hidden="false" customHeight="false" outlineLevel="1" collapsed="false">
      <c r="A26" s="1" t="s">
        <v>43</v>
      </c>
      <c r="D26" s="22"/>
      <c r="E26" s="22" t="n">
        <v>11000</v>
      </c>
      <c r="F26" s="3" t="s">
        <v>26</v>
      </c>
      <c r="X26" s="8" t="n">
        <f aca="false">E26</f>
        <v>11000</v>
      </c>
    </row>
    <row r="27" customFormat="false" ht="12.8" hidden="false" customHeight="false" outlineLevel="1" collapsed="false">
      <c r="A27" s="1" t="s">
        <v>41</v>
      </c>
      <c r="D27" s="23"/>
      <c r="E27" s="23" t="n">
        <v>10450</v>
      </c>
      <c r="F27" s="3" t="s">
        <v>26</v>
      </c>
      <c r="X27" s="8" t="n">
        <f aca="false">E27</f>
        <v>10450</v>
      </c>
    </row>
    <row r="28" customFormat="false" ht="12.8" hidden="false" customHeight="false" outlineLevel="1" collapsed="false">
      <c r="F28" s="3" t="s">
        <v>22</v>
      </c>
    </row>
    <row r="29" customFormat="false" ht="12.8" hidden="false" customHeight="false" outlineLevel="0" collapsed="false">
      <c r="A29" s="9" t="s">
        <v>44</v>
      </c>
      <c r="F29" s="3" t="s">
        <v>22</v>
      </c>
    </row>
    <row r="30" customFormat="false" ht="12.8" hidden="false" customHeight="false" outlineLevel="1" collapsed="false">
      <c r="A30" s="1" t="s">
        <v>45</v>
      </c>
      <c r="D30" s="22"/>
      <c r="E30" s="25" t="n">
        <v>0</v>
      </c>
      <c r="F30" s="3" t="s">
        <v>22</v>
      </c>
      <c r="G30" s="1" t="s">
        <v>33</v>
      </c>
    </row>
    <row r="31" customFormat="false" ht="12.8" hidden="false" customHeight="false" outlineLevel="1" collapsed="false">
      <c r="A31" s="1" t="s">
        <v>46</v>
      </c>
      <c r="D31" s="22"/>
      <c r="E31" s="25" t="n">
        <v>0</v>
      </c>
      <c r="F31" s="3" t="s">
        <v>22</v>
      </c>
      <c r="G31" s="1" t="s">
        <v>33</v>
      </c>
    </row>
    <row r="32" customFormat="false" ht="12.8" hidden="false" customHeight="false" outlineLevel="1" collapsed="false">
      <c r="A32" s="1" t="s">
        <v>47</v>
      </c>
      <c r="D32" s="22"/>
      <c r="E32" s="22" t="n">
        <v>7000</v>
      </c>
      <c r="F32" s="3" t="s">
        <v>26</v>
      </c>
      <c r="Y32" s="8" t="n">
        <f aca="false">E32</f>
        <v>7000</v>
      </c>
    </row>
    <row r="33" customFormat="false" ht="12.8" hidden="false" customHeight="false" outlineLevel="1" collapsed="false">
      <c r="A33" s="1" t="s">
        <v>48</v>
      </c>
      <c r="D33" s="22"/>
      <c r="E33" s="22" t="n">
        <v>21000</v>
      </c>
      <c r="F33" s="3" t="s">
        <v>26</v>
      </c>
      <c r="Y33" s="8" t="n">
        <f aca="false">E33</f>
        <v>21000</v>
      </c>
    </row>
    <row r="34" customFormat="false" ht="12.8" hidden="false" customHeight="false" outlineLevel="1" collapsed="false">
      <c r="A34" s="1" t="s">
        <v>49</v>
      </c>
      <c r="D34" s="22"/>
      <c r="E34" s="22" t="n">
        <v>2800</v>
      </c>
      <c r="F34" s="3" t="s">
        <v>26</v>
      </c>
      <c r="Y34" s="8" t="n">
        <f aca="false">E34</f>
        <v>2800</v>
      </c>
    </row>
    <row r="35" customFormat="false" ht="12.8" hidden="false" customHeight="false" outlineLevel="1" collapsed="false">
      <c r="A35" s="1" t="s">
        <v>50</v>
      </c>
      <c r="D35" s="23"/>
      <c r="E35" s="23" t="n">
        <v>0</v>
      </c>
      <c r="F35" s="3" t="s">
        <v>22</v>
      </c>
    </row>
    <row r="36" customFormat="false" ht="12.8" hidden="false" customHeight="false" outlineLevel="1" collapsed="false">
      <c r="A36" s="1" t="s">
        <v>51</v>
      </c>
      <c r="D36" s="23"/>
      <c r="E36" s="23" t="n">
        <v>0</v>
      </c>
      <c r="F36" s="3" t="s">
        <v>22</v>
      </c>
    </row>
    <row r="37" customFormat="false" ht="12.8" hidden="false" customHeight="false" outlineLevel="1" collapsed="false">
      <c r="A37" s="1" t="s">
        <v>52</v>
      </c>
      <c r="D37" s="23"/>
      <c r="E37" s="23" t="n">
        <v>6300</v>
      </c>
      <c r="F37" s="3" t="s">
        <v>26</v>
      </c>
      <c r="Z37" s="8" t="n">
        <f aca="false">E37</f>
        <v>6300</v>
      </c>
    </row>
    <row r="38" customFormat="false" ht="12.8" hidden="false" customHeight="false" outlineLevel="1" collapsed="false">
      <c r="A38" s="1" t="s">
        <v>53</v>
      </c>
      <c r="D38" s="23"/>
      <c r="E38" s="23" t="n">
        <v>28000</v>
      </c>
      <c r="F38" s="3" t="s">
        <v>26</v>
      </c>
      <c r="Z38" s="8" t="n">
        <f aca="false">E38</f>
        <v>28000</v>
      </c>
    </row>
    <row r="39" customFormat="false" ht="12.8" hidden="false" customHeight="false" outlineLevel="1" collapsed="false">
      <c r="A39" s="1" t="s">
        <v>54</v>
      </c>
      <c r="D39" s="23"/>
      <c r="E39" s="23" t="n">
        <v>2100</v>
      </c>
      <c r="F39" s="3" t="s">
        <v>26</v>
      </c>
      <c r="Z39" s="8" t="n">
        <f aca="false">E39</f>
        <v>2100</v>
      </c>
    </row>
    <row r="40" customFormat="false" ht="12.8" hidden="false" customHeight="false" outlineLevel="1" collapsed="false">
      <c r="F40" s="3" t="s">
        <v>22</v>
      </c>
    </row>
    <row r="41" customFormat="false" ht="12.8" hidden="false" customHeight="false" outlineLevel="0" collapsed="false">
      <c r="A41" s="9" t="s">
        <v>55</v>
      </c>
      <c r="F41" s="3" t="s">
        <v>22</v>
      </c>
    </row>
    <row r="42" customFormat="false" ht="12.8" hidden="false" customHeight="false" outlineLevel="1" collapsed="false">
      <c r="A42" s="1" t="s">
        <v>56</v>
      </c>
      <c r="D42" s="2" t="n">
        <v>300</v>
      </c>
      <c r="E42" s="2" t="n">
        <v>406</v>
      </c>
      <c r="F42" s="3" t="s">
        <v>26</v>
      </c>
      <c r="Q42" s="7" t="n">
        <v>406</v>
      </c>
    </row>
    <row r="43" customFormat="false" ht="12.8" hidden="false" customHeight="false" outlineLevel="1" collapsed="false">
      <c r="A43" s="1" t="s">
        <v>57</v>
      </c>
      <c r="D43" s="2" t="n">
        <v>10</v>
      </c>
      <c r="E43" s="2" t="n">
        <v>10</v>
      </c>
      <c r="F43" s="3" t="s">
        <v>26</v>
      </c>
      <c r="J43" s="2" t="n">
        <f aca="false">E43</f>
        <v>10</v>
      </c>
    </row>
    <row r="44" customFormat="false" ht="12.8" hidden="false" customHeight="false" outlineLevel="1" collapsed="false">
      <c r="A44" s="1" t="s">
        <v>58</v>
      </c>
      <c r="D44" s="2" t="n">
        <v>0</v>
      </c>
      <c r="E44" s="2" t="n">
        <v>0</v>
      </c>
      <c r="F44" s="3" t="s">
        <v>26</v>
      </c>
      <c r="J44" s="2" t="n">
        <f aca="false">E44</f>
        <v>0</v>
      </c>
      <c r="Q44" s="7" t="n">
        <v>0</v>
      </c>
    </row>
    <row r="45" customFormat="false" ht="12.8" hidden="false" customHeight="false" outlineLevel="1" collapsed="false">
      <c r="A45" s="1" t="s">
        <v>28</v>
      </c>
      <c r="D45" s="2" t="n">
        <v>10</v>
      </c>
      <c r="E45" s="2" t="n">
        <v>13</v>
      </c>
      <c r="F45" s="3" t="s">
        <v>26</v>
      </c>
      <c r="J45" s="2" t="n">
        <f aca="false">E45</f>
        <v>13</v>
      </c>
    </row>
    <row r="46" customFormat="false" ht="12.8" hidden="false" customHeight="false" outlineLevel="1" collapsed="false">
      <c r="A46" s="1" t="s">
        <v>29</v>
      </c>
      <c r="D46" s="2" t="n">
        <v>50</v>
      </c>
      <c r="E46" s="2" t="n">
        <v>65</v>
      </c>
      <c r="F46" s="3" t="s">
        <v>26</v>
      </c>
      <c r="J46" s="2" t="n">
        <f aca="false">E46</f>
        <v>65</v>
      </c>
    </row>
    <row r="47" customFormat="false" ht="12.8" hidden="false" customHeight="false" outlineLevel="1" collapsed="false">
      <c r="A47" s="1" t="s">
        <v>59</v>
      </c>
      <c r="D47" s="2" t="n">
        <v>10</v>
      </c>
      <c r="E47" s="2" t="n">
        <v>10</v>
      </c>
      <c r="F47" s="3" t="s">
        <v>26</v>
      </c>
      <c r="J47" s="2" t="n">
        <f aca="false">E47</f>
        <v>10</v>
      </c>
    </row>
    <row r="48" customFormat="false" ht="12.8" hidden="false" customHeight="false" outlineLevel="1" collapsed="false">
      <c r="A48" s="1" t="s">
        <v>30</v>
      </c>
      <c r="D48" s="2" t="n">
        <v>6</v>
      </c>
      <c r="E48" s="2" t="n">
        <v>6</v>
      </c>
      <c r="F48" s="3" t="s">
        <v>26</v>
      </c>
      <c r="K48" s="2" t="n">
        <f aca="false">E48</f>
        <v>6</v>
      </c>
    </row>
    <row r="49" customFormat="false" ht="12.8" hidden="false" customHeight="false" outlineLevel="1" collapsed="false">
      <c r="A49" s="1" t="s">
        <v>31</v>
      </c>
      <c r="D49" s="24"/>
      <c r="E49" s="24" t="n">
        <v>60</v>
      </c>
      <c r="F49" s="3" t="s">
        <v>26</v>
      </c>
      <c r="K49" s="24" t="n">
        <f aca="false">E49</f>
        <v>60</v>
      </c>
    </row>
    <row r="50" customFormat="false" ht="12.8" hidden="false" customHeight="false" outlineLevel="1" collapsed="false">
      <c r="A50" s="1" t="s">
        <v>35</v>
      </c>
      <c r="D50" s="22"/>
      <c r="E50" s="22" t="n">
        <v>2800</v>
      </c>
      <c r="F50" s="3" t="s">
        <v>26</v>
      </c>
      <c r="L50" s="22" t="n">
        <f aca="false">E50</f>
        <v>2800</v>
      </c>
    </row>
    <row r="51" customFormat="false" ht="12.8" hidden="false" customHeight="false" outlineLevel="1" collapsed="false">
      <c r="A51" s="1" t="s">
        <v>60</v>
      </c>
      <c r="D51" s="22"/>
      <c r="E51" s="22" t="n">
        <v>2352</v>
      </c>
      <c r="F51" s="3" t="s">
        <v>24</v>
      </c>
      <c r="G51" s="1" t="s">
        <v>3</v>
      </c>
      <c r="H51" s="4" t="n">
        <f aca="false">E51</f>
        <v>2352</v>
      </c>
      <c r="M51" s="22" t="n">
        <f aca="false">E51</f>
        <v>2352</v>
      </c>
    </row>
    <row r="52" customFormat="false" ht="12.8" hidden="false" customHeight="false" outlineLevel="1" collapsed="false">
      <c r="A52" s="1" t="s">
        <v>61</v>
      </c>
      <c r="D52" s="22"/>
      <c r="E52" s="22" t="n">
        <v>990</v>
      </c>
      <c r="F52" s="3" t="s">
        <v>24</v>
      </c>
      <c r="G52" s="1" t="s">
        <v>3</v>
      </c>
      <c r="H52" s="4" t="n">
        <f aca="false">E52</f>
        <v>990</v>
      </c>
      <c r="M52" s="22" t="n">
        <f aca="false">E52</f>
        <v>990</v>
      </c>
    </row>
    <row r="53" customFormat="false" ht="12.8" hidden="false" customHeight="false" outlineLevel="1" collapsed="false">
      <c r="A53" s="1" t="s">
        <v>62</v>
      </c>
      <c r="D53" s="22"/>
      <c r="E53" s="22" t="n">
        <v>0</v>
      </c>
      <c r="F53" s="3" t="s">
        <v>26</v>
      </c>
      <c r="M53" s="22" t="n">
        <f aca="false">E53</f>
        <v>0</v>
      </c>
    </row>
    <row r="54" customFormat="false" ht="12.8" hidden="false" customHeight="false" outlineLevel="1" collapsed="false">
      <c r="A54" s="1" t="s">
        <v>36</v>
      </c>
      <c r="D54" s="22"/>
      <c r="E54" s="22" t="n">
        <v>192</v>
      </c>
      <c r="F54" s="3" t="s">
        <v>24</v>
      </c>
      <c r="G54" s="1" t="s">
        <v>3</v>
      </c>
      <c r="H54" s="4" t="n">
        <f aca="false">E54</f>
        <v>192</v>
      </c>
      <c r="M54" s="22" t="n">
        <f aca="false">E54</f>
        <v>192</v>
      </c>
    </row>
    <row r="55" customFormat="false" ht="12.8" hidden="false" customHeight="false" outlineLevel="1" collapsed="false">
      <c r="A55" s="1" t="s">
        <v>37</v>
      </c>
      <c r="D55" s="22"/>
      <c r="E55" s="22" t="n">
        <v>660</v>
      </c>
      <c r="F55" s="3" t="s">
        <v>24</v>
      </c>
      <c r="G55" s="1" t="s">
        <v>3</v>
      </c>
      <c r="H55" s="4" t="n">
        <f aca="false">E55</f>
        <v>660</v>
      </c>
      <c r="M55" s="22" t="n">
        <f aca="false">E55</f>
        <v>660</v>
      </c>
    </row>
    <row r="56" customFormat="false" ht="12.8" hidden="false" customHeight="false" outlineLevel="1" collapsed="false">
      <c r="A56" s="1" t="s">
        <v>63</v>
      </c>
      <c r="D56" s="22"/>
      <c r="E56" s="22" t="n">
        <v>60</v>
      </c>
      <c r="F56" s="3" t="s">
        <v>24</v>
      </c>
      <c r="G56" s="1" t="s">
        <v>3</v>
      </c>
      <c r="H56" s="4" t="n">
        <f aca="false">E56</f>
        <v>60</v>
      </c>
      <c r="M56" s="22" t="n">
        <f aca="false">E56</f>
        <v>60</v>
      </c>
    </row>
    <row r="57" customFormat="false" ht="12.8" hidden="false" customHeight="false" outlineLevel="1" collapsed="false">
      <c r="A57" s="1" t="s">
        <v>38</v>
      </c>
      <c r="D57" s="22"/>
      <c r="E57" s="25" t="n">
        <v>0</v>
      </c>
      <c r="F57" s="3" t="s">
        <v>22</v>
      </c>
    </row>
    <row r="58" customFormat="false" ht="12.8" hidden="false" customHeight="false" outlineLevel="1" collapsed="false">
      <c r="A58" s="1" t="s">
        <v>39</v>
      </c>
      <c r="D58" s="22"/>
      <c r="E58" s="25" t="n">
        <v>0</v>
      </c>
      <c r="F58" s="3" t="s">
        <v>22</v>
      </c>
    </row>
    <row r="59" customFormat="false" ht="12.8" hidden="false" customHeight="false" outlineLevel="1" collapsed="false">
      <c r="A59" s="1" t="s">
        <v>40</v>
      </c>
      <c r="D59" s="22"/>
      <c r="E59" s="22" t="n">
        <v>18000</v>
      </c>
      <c r="F59" s="3" t="s">
        <v>26</v>
      </c>
      <c r="L59" s="22" t="n">
        <f aca="false">E59</f>
        <v>18000</v>
      </c>
    </row>
    <row r="60" customFormat="false" ht="12.8" hidden="false" customHeight="false" outlineLevel="1" collapsed="false">
      <c r="A60" s="1" t="s">
        <v>41</v>
      </c>
      <c r="D60" s="23"/>
      <c r="E60" s="23" t="n">
        <v>17500</v>
      </c>
      <c r="F60" s="3" t="s">
        <v>26</v>
      </c>
      <c r="L60" s="22" t="n">
        <f aca="false">E60</f>
        <v>17500</v>
      </c>
    </row>
    <row r="61" customFormat="false" ht="12.8" hidden="false" customHeight="false" outlineLevel="1" collapsed="false">
      <c r="F61" s="3" t="s">
        <v>22</v>
      </c>
    </row>
    <row r="62" customFormat="false" ht="12.8" hidden="false" customHeight="false" outlineLevel="0" collapsed="false">
      <c r="A62" s="9" t="s">
        <v>64</v>
      </c>
      <c r="F62" s="3" t="s">
        <v>22</v>
      </c>
    </row>
    <row r="63" customFormat="false" ht="12.8" hidden="false" customHeight="false" outlineLevel="1" collapsed="false">
      <c r="A63" s="1" t="s">
        <v>58</v>
      </c>
      <c r="D63" s="2" t="n">
        <v>200</v>
      </c>
      <c r="E63" s="2" t="n">
        <v>291</v>
      </c>
      <c r="F63" s="3" t="s">
        <v>26</v>
      </c>
      <c r="Q63" s="7" t="n">
        <f aca="false">E63</f>
        <v>291</v>
      </c>
    </row>
    <row r="64" customFormat="false" ht="12.8" hidden="false" customHeight="false" outlineLevel="1" collapsed="false">
      <c r="A64" s="1" t="s">
        <v>65</v>
      </c>
      <c r="D64" s="2" t="n">
        <v>10</v>
      </c>
      <c r="E64" s="2" t="n">
        <v>9</v>
      </c>
      <c r="F64" s="3" t="s">
        <v>26</v>
      </c>
      <c r="J64" s="2" t="n">
        <f aca="false">E64</f>
        <v>9</v>
      </c>
    </row>
    <row r="65" customFormat="false" ht="12.8" hidden="false" customHeight="false" outlineLevel="1" collapsed="false">
      <c r="A65" s="1" t="s">
        <v>56</v>
      </c>
      <c r="D65" s="2" t="n">
        <v>0</v>
      </c>
      <c r="E65" s="2" t="n">
        <v>0</v>
      </c>
      <c r="F65" s="3" t="s">
        <v>26</v>
      </c>
      <c r="J65" s="2" t="n">
        <f aca="false">E65</f>
        <v>0</v>
      </c>
      <c r="Q65" s="7" t="n">
        <v>0</v>
      </c>
    </row>
    <row r="66" customFormat="false" ht="12.8" hidden="false" customHeight="false" outlineLevel="1" collapsed="false">
      <c r="A66" s="1" t="s">
        <v>28</v>
      </c>
      <c r="D66" s="2" t="n">
        <v>40</v>
      </c>
      <c r="E66" s="2" t="n">
        <v>52</v>
      </c>
      <c r="F66" s="3" t="s">
        <v>26</v>
      </c>
      <c r="J66" s="2" t="n">
        <f aca="false">E66</f>
        <v>52</v>
      </c>
    </row>
    <row r="67" customFormat="false" ht="12.8" hidden="false" customHeight="false" outlineLevel="1" collapsed="false">
      <c r="A67" s="1" t="s">
        <v>66</v>
      </c>
      <c r="D67" s="2" t="n">
        <v>10</v>
      </c>
      <c r="E67" s="2" t="n">
        <v>10</v>
      </c>
      <c r="F67" s="3" t="s">
        <v>26</v>
      </c>
      <c r="J67" s="2" t="n">
        <f aca="false">E67</f>
        <v>10</v>
      </c>
    </row>
    <row r="68" customFormat="false" ht="12.8" hidden="false" customHeight="false" outlineLevel="1" collapsed="false">
      <c r="A68" s="1" t="s">
        <v>67</v>
      </c>
      <c r="D68" s="2" t="n">
        <v>10</v>
      </c>
      <c r="E68" s="2" t="n">
        <v>9</v>
      </c>
      <c r="F68" s="3" t="s">
        <v>26</v>
      </c>
      <c r="J68" s="2" t="n">
        <f aca="false">E68</f>
        <v>9</v>
      </c>
    </row>
    <row r="69" customFormat="false" ht="12.8" hidden="false" customHeight="false" outlineLevel="1" collapsed="false">
      <c r="A69" s="1" t="s">
        <v>30</v>
      </c>
      <c r="D69" s="2" t="n">
        <v>6</v>
      </c>
      <c r="E69" s="2" t="n">
        <v>6</v>
      </c>
      <c r="F69" s="3" t="s">
        <v>26</v>
      </c>
      <c r="K69" s="2" t="n">
        <f aca="false">E69</f>
        <v>6</v>
      </c>
    </row>
    <row r="70" customFormat="false" ht="12.8" hidden="false" customHeight="false" outlineLevel="1" collapsed="false">
      <c r="A70" s="1" t="s">
        <v>31</v>
      </c>
      <c r="D70" s="24"/>
      <c r="E70" s="24" t="n">
        <v>40</v>
      </c>
      <c r="F70" s="3" t="s">
        <v>26</v>
      </c>
      <c r="K70" s="24" t="n">
        <f aca="false">E70</f>
        <v>40</v>
      </c>
    </row>
    <row r="71" customFormat="false" ht="12.8" hidden="false" customHeight="false" outlineLevel="1" collapsed="false">
      <c r="A71" s="1" t="s">
        <v>35</v>
      </c>
      <c r="D71" s="22"/>
      <c r="E71" s="22" t="n">
        <v>2900</v>
      </c>
      <c r="F71" s="3" t="s">
        <v>26</v>
      </c>
      <c r="L71" s="22" t="n">
        <f aca="false">E71</f>
        <v>2900</v>
      </c>
    </row>
    <row r="72" customFormat="false" ht="12.8" hidden="false" customHeight="false" outlineLevel="1" collapsed="false">
      <c r="A72" s="1" t="s">
        <v>68</v>
      </c>
      <c r="D72" s="22"/>
      <c r="E72" s="22" t="n">
        <v>620</v>
      </c>
      <c r="F72" s="3" t="s">
        <v>24</v>
      </c>
      <c r="G72" s="1" t="s">
        <v>3</v>
      </c>
      <c r="H72" s="4" t="n">
        <f aca="false">E72</f>
        <v>620</v>
      </c>
      <c r="M72" s="22" t="n">
        <f aca="false">E72</f>
        <v>620</v>
      </c>
    </row>
    <row r="73" customFormat="false" ht="12.8" hidden="false" customHeight="false" outlineLevel="1" collapsed="false">
      <c r="A73" s="1" t="s">
        <v>62</v>
      </c>
      <c r="D73" s="22"/>
      <c r="E73" s="22" t="n">
        <v>2489</v>
      </c>
      <c r="F73" s="3" t="s">
        <v>24</v>
      </c>
      <c r="G73" s="1" t="s">
        <v>3</v>
      </c>
      <c r="H73" s="4" t="n">
        <f aca="false">E73</f>
        <v>2489</v>
      </c>
      <c r="M73" s="22" t="n">
        <f aca="false">E73</f>
        <v>2489</v>
      </c>
    </row>
    <row r="74" customFormat="false" ht="12.8" hidden="false" customHeight="false" outlineLevel="1" collapsed="false">
      <c r="A74" s="1" t="s">
        <v>60</v>
      </c>
      <c r="D74" s="22"/>
      <c r="E74" s="22" t="n">
        <v>0</v>
      </c>
      <c r="F74" s="3" t="s">
        <v>24</v>
      </c>
      <c r="G74" s="1" t="s">
        <v>3</v>
      </c>
      <c r="H74" s="4" t="n">
        <f aca="false">E74</f>
        <v>0</v>
      </c>
      <c r="M74" s="22" t="n">
        <f aca="false">E74</f>
        <v>0</v>
      </c>
    </row>
    <row r="75" customFormat="false" ht="12.8" hidden="false" customHeight="false" outlineLevel="1" collapsed="false">
      <c r="A75" s="1" t="s">
        <v>36</v>
      </c>
      <c r="D75" s="22"/>
      <c r="E75" s="22" t="n">
        <v>768</v>
      </c>
      <c r="F75" s="3" t="s">
        <v>24</v>
      </c>
      <c r="G75" s="1" t="s">
        <v>3</v>
      </c>
      <c r="H75" s="4" t="n">
        <f aca="false">E75</f>
        <v>768</v>
      </c>
      <c r="M75" s="22" t="n">
        <f aca="false">E75</f>
        <v>768</v>
      </c>
    </row>
    <row r="76" customFormat="false" ht="12.8" hidden="false" customHeight="false" outlineLevel="1" collapsed="false">
      <c r="A76" s="1" t="s">
        <v>69</v>
      </c>
      <c r="D76" s="22"/>
      <c r="E76" s="22" t="n">
        <v>24</v>
      </c>
      <c r="F76" s="3" t="s">
        <v>24</v>
      </c>
      <c r="G76" s="1" t="s">
        <v>3</v>
      </c>
      <c r="H76" s="4" t="n">
        <f aca="false">E76</f>
        <v>24</v>
      </c>
      <c r="M76" s="22" t="n">
        <f aca="false">E76</f>
        <v>24</v>
      </c>
    </row>
    <row r="77" customFormat="false" ht="12.8" hidden="false" customHeight="false" outlineLevel="1" collapsed="false">
      <c r="A77" s="1" t="s">
        <v>70</v>
      </c>
      <c r="D77" s="22"/>
      <c r="E77" s="22" t="n">
        <v>120</v>
      </c>
      <c r="F77" s="3" t="s">
        <v>24</v>
      </c>
      <c r="G77" s="1" t="s">
        <v>3</v>
      </c>
      <c r="H77" s="4" t="n">
        <f aca="false">E77</f>
        <v>120</v>
      </c>
      <c r="M77" s="22" t="n">
        <f aca="false">E77</f>
        <v>120</v>
      </c>
    </row>
    <row r="78" customFormat="false" ht="12.8" hidden="false" customHeight="false" outlineLevel="1" collapsed="false">
      <c r="A78" s="1" t="s">
        <v>38</v>
      </c>
      <c r="D78" s="22"/>
      <c r="E78" s="25" t="n">
        <v>0</v>
      </c>
      <c r="F78" s="3" t="s">
        <v>22</v>
      </c>
      <c r="G78" s="1" t="s">
        <v>33</v>
      </c>
    </row>
    <row r="79" customFormat="false" ht="12.8" hidden="false" customHeight="false" outlineLevel="1" collapsed="false">
      <c r="A79" s="1" t="s">
        <v>39</v>
      </c>
      <c r="D79" s="22"/>
      <c r="E79" s="25" t="n">
        <v>0</v>
      </c>
      <c r="F79" s="3" t="s">
        <v>22</v>
      </c>
      <c r="G79" s="1" t="s">
        <v>33</v>
      </c>
    </row>
    <row r="80" customFormat="false" ht="12.8" hidden="false" customHeight="false" outlineLevel="1" collapsed="false">
      <c r="A80" s="1" t="s">
        <v>40</v>
      </c>
      <c r="D80" s="22"/>
      <c r="E80" s="22" t="n">
        <v>18000</v>
      </c>
      <c r="F80" s="3" t="s">
        <v>26</v>
      </c>
      <c r="L80" s="22" t="n">
        <f aca="false">E80</f>
        <v>18000</v>
      </c>
    </row>
    <row r="81" customFormat="false" ht="12.8" hidden="false" customHeight="false" outlineLevel="1" collapsed="false">
      <c r="A81" s="1" t="s">
        <v>41</v>
      </c>
      <c r="D81" s="23"/>
      <c r="E81" s="23" t="n">
        <v>18000</v>
      </c>
      <c r="F81" s="3" t="s">
        <v>26</v>
      </c>
      <c r="L81" s="22" t="n">
        <f aca="false">E81</f>
        <v>18000</v>
      </c>
    </row>
    <row r="82" customFormat="false" ht="12.8" hidden="false" customHeight="false" outlineLevel="1" collapsed="false">
      <c r="F82" s="3" t="s">
        <v>22</v>
      </c>
    </row>
    <row r="83" customFormat="false" ht="12.8" hidden="false" customHeight="false" outlineLevel="0" collapsed="false">
      <c r="A83" s="9" t="s">
        <v>71</v>
      </c>
      <c r="F83" s="3" t="s">
        <v>22</v>
      </c>
    </row>
    <row r="84" customFormat="false" ht="12.8" hidden="false" customHeight="false" outlineLevel="1" collapsed="false">
      <c r="A84" s="1" t="s">
        <v>56</v>
      </c>
      <c r="E84" s="26" t="n">
        <v>0</v>
      </c>
      <c r="F84" s="3" t="s">
        <v>22</v>
      </c>
      <c r="G84" s="1" t="s">
        <v>33</v>
      </c>
    </row>
    <row r="85" customFormat="false" ht="12.8" hidden="false" customHeight="false" outlineLevel="1" collapsed="false">
      <c r="A85" s="1" t="s">
        <v>58</v>
      </c>
      <c r="E85" s="26" t="n">
        <v>0</v>
      </c>
      <c r="F85" s="3" t="s">
        <v>22</v>
      </c>
      <c r="G85" s="1" t="s">
        <v>33</v>
      </c>
    </row>
    <row r="86" customFormat="false" ht="12.8" hidden="false" customHeight="false" outlineLevel="1" collapsed="false">
      <c r="A86" s="1" t="s">
        <v>72</v>
      </c>
      <c r="E86" s="26" t="n">
        <v>0</v>
      </c>
      <c r="F86" s="3" t="s">
        <v>22</v>
      </c>
      <c r="G86" s="1" t="s">
        <v>33</v>
      </c>
    </row>
    <row r="87" customFormat="false" ht="12.8" hidden="false" customHeight="false" outlineLevel="1" collapsed="false">
      <c r="A87" s="1" t="s">
        <v>73</v>
      </c>
      <c r="E87" s="26" t="n">
        <v>0</v>
      </c>
      <c r="F87" s="3" t="s">
        <v>22</v>
      </c>
      <c r="G87" s="1" t="s">
        <v>33</v>
      </c>
    </row>
    <row r="88" customFormat="false" ht="12.8" hidden="false" customHeight="false" outlineLevel="1" collapsed="false">
      <c r="A88" s="1" t="s">
        <v>74</v>
      </c>
      <c r="E88" s="2" t="n">
        <v>16478</v>
      </c>
      <c r="F88" s="3" t="s">
        <v>26</v>
      </c>
      <c r="V88" s="27" t="n">
        <f aca="false">E88</f>
        <v>16478</v>
      </c>
    </row>
    <row r="89" customFormat="false" ht="12.8" hidden="false" customHeight="false" outlineLevel="1" collapsed="false">
      <c r="A89" s="1" t="s">
        <v>31</v>
      </c>
      <c r="D89" s="24"/>
      <c r="E89" s="24" t="n">
        <v>219.726666666667</v>
      </c>
      <c r="F89" s="3" t="s">
        <v>26</v>
      </c>
      <c r="V89" s="27" t="n">
        <f aca="false">E89</f>
        <v>219.726666666667</v>
      </c>
    </row>
    <row r="90" customFormat="false" ht="12.8" hidden="false" customHeight="false" outlineLevel="1" collapsed="false">
      <c r="A90" s="1" t="s">
        <v>75</v>
      </c>
      <c r="D90" s="22"/>
      <c r="E90" s="22" t="n">
        <v>41195</v>
      </c>
      <c r="F90" s="3" t="s">
        <v>26</v>
      </c>
      <c r="V90" s="27" t="n">
        <f aca="false">E90</f>
        <v>41195</v>
      </c>
    </row>
    <row r="91" customFormat="false" ht="12.8" hidden="false" customHeight="false" outlineLevel="1" collapsed="false">
      <c r="A91" s="1" t="s">
        <v>41</v>
      </c>
      <c r="D91" s="23"/>
      <c r="E91" s="23" t="n">
        <v>15159.76</v>
      </c>
      <c r="F91" s="3" t="s">
        <v>26</v>
      </c>
      <c r="V91" s="27" t="n">
        <f aca="false">E91</f>
        <v>15159.76</v>
      </c>
    </row>
    <row r="92" customFormat="false" ht="12.8" hidden="false" customHeight="false" outlineLevel="1" collapsed="false">
      <c r="F92" s="3" t="s">
        <v>22</v>
      </c>
    </row>
    <row r="93" customFormat="false" ht="12.8" hidden="false" customHeight="false" outlineLevel="0" collapsed="false">
      <c r="A93" s="9" t="s">
        <v>76</v>
      </c>
      <c r="F93" s="3" t="s">
        <v>26</v>
      </c>
    </row>
    <row r="94" customFormat="false" ht="12.8" hidden="false" customHeight="false" outlineLevel="1" collapsed="false">
      <c r="A94" s="1" t="s">
        <v>56</v>
      </c>
      <c r="E94" s="26" t="n">
        <v>0</v>
      </c>
      <c r="F94" s="3" t="s">
        <v>22</v>
      </c>
      <c r="G94" s="1" t="s">
        <v>33</v>
      </c>
    </row>
    <row r="95" customFormat="false" ht="12.8" hidden="false" customHeight="false" outlineLevel="1" collapsed="false">
      <c r="A95" s="1" t="s">
        <v>58</v>
      </c>
      <c r="E95" s="26" t="n">
        <v>0</v>
      </c>
      <c r="F95" s="3" t="s">
        <v>22</v>
      </c>
      <c r="G95" s="1" t="s">
        <v>33</v>
      </c>
    </row>
    <row r="96" customFormat="false" ht="12.8" hidden="false" customHeight="false" outlineLevel="1" collapsed="false">
      <c r="A96" s="1" t="s">
        <v>72</v>
      </c>
      <c r="E96" s="26" t="n">
        <v>0</v>
      </c>
      <c r="F96" s="3" t="s">
        <v>22</v>
      </c>
      <c r="G96" s="1" t="s">
        <v>33</v>
      </c>
      <c r="V96" s="27"/>
    </row>
    <row r="97" customFormat="false" ht="12.8" hidden="false" customHeight="false" outlineLevel="1" collapsed="false">
      <c r="A97" s="1" t="s">
        <v>73</v>
      </c>
      <c r="E97" s="28" t="n">
        <v>1.77635683940025E-015</v>
      </c>
      <c r="F97" s="3" t="s">
        <v>22</v>
      </c>
      <c r="G97" s="1" t="s">
        <v>33</v>
      </c>
      <c r="V97" s="27"/>
    </row>
    <row r="98" customFormat="false" ht="12.8" hidden="false" customHeight="false" outlineLevel="1" collapsed="false">
      <c r="A98" s="1" t="s">
        <v>74</v>
      </c>
      <c r="E98" s="2" t="n">
        <v>5889</v>
      </c>
      <c r="F98" s="3" t="s">
        <v>26</v>
      </c>
      <c r="V98" s="27" t="n">
        <f aca="false">E98</f>
        <v>5889</v>
      </c>
    </row>
    <row r="99" customFormat="false" ht="12.8" hidden="false" customHeight="false" outlineLevel="1" collapsed="false">
      <c r="A99" s="1" t="s">
        <v>31</v>
      </c>
      <c r="D99" s="24"/>
      <c r="E99" s="24" t="n">
        <v>148.73</v>
      </c>
      <c r="F99" s="3" t="s">
        <v>26</v>
      </c>
      <c r="V99" s="27" t="n">
        <f aca="false">E99</f>
        <v>148.73</v>
      </c>
    </row>
    <row r="100" customFormat="false" ht="12.8" hidden="false" customHeight="false" outlineLevel="1" collapsed="false">
      <c r="A100" s="1" t="s">
        <v>75</v>
      </c>
      <c r="D100" s="22"/>
      <c r="E100" s="22" t="n">
        <v>11778</v>
      </c>
      <c r="F100" s="3" t="s">
        <v>26</v>
      </c>
      <c r="V100" s="27" t="n">
        <f aca="false">E100</f>
        <v>11778</v>
      </c>
    </row>
    <row r="101" customFormat="false" ht="12.8" hidden="false" customHeight="false" outlineLevel="1" collapsed="false">
      <c r="A101" s="1" t="s">
        <v>41</v>
      </c>
      <c r="D101" s="23"/>
      <c r="E101" s="23" t="n">
        <v>5417.88</v>
      </c>
      <c r="F101" s="3" t="s">
        <v>26</v>
      </c>
      <c r="V101" s="27" t="n">
        <f aca="false">E101</f>
        <v>5417.88</v>
      </c>
    </row>
    <row r="102" customFormat="false" ht="12.8" hidden="false" customHeight="false" outlineLevel="1" collapsed="false">
      <c r="F102" s="3" t="s">
        <v>22</v>
      </c>
    </row>
    <row r="103" customFormat="false" ht="12.8" hidden="false" customHeight="false" outlineLevel="0" collapsed="false">
      <c r="A103" s="9" t="s">
        <v>77</v>
      </c>
      <c r="F103" s="3" t="s">
        <v>26</v>
      </c>
    </row>
    <row r="104" customFormat="false" ht="12.8" hidden="false" customHeight="false" outlineLevel="1" collapsed="false">
      <c r="A104" s="1" t="s">
        <v>56</v>
      </c>
      <c r="E104" s="26" t="n">
        <v>0</v>
      </c>
      <c r="F104" s="3" t="s">
        <v>22</v>
      </c>
      <c r="G104" s="1" t="s">
        <v>33</v>
      </c>
    </row>
    <row r="105" customFormat="false" ht="12.8" hidden="false" customHeight="false" outlineLevel="1" collapsed="false">
      <c r="A105" s="1" t="s">
        <v>58</v>
      </c>
      <c r="E105" s="26" t="n">
        <v>0</v>
      </c>
      <c r="F105" s="3" t="s">
        <v>22</v>
      </c>
      <c r="G105" s="1" t="s">
        <v>33</v>
      </c>
    </row>
    <row r="106" customFormat="false" ht="12.8" hidden="false" customHeight="false" outlineLevel="1" collapsed="false">
      <c r="A106" s="1" t="s">
        <v>72</v>
      </c>
      <c r="E106" s="26" t="n">
        <v>0</v>
      </c>
      <c r="F106" s="3" t="s">
        <v>22</v>
      </c>
      <c r="G106" s="1" t="s">
        <v>33</v>
      </c>
    </row>
    <row r="107" customFormat="false" ht="12.8" hidden="false" customHeight="false" outlineLevel="1" collapsed="false">
      <c r="A107" s="1" t="s">
        <v>73</v>
      </c>
      <c r="E107" s="26" t="n">
        <v>0</v>
      </c>
      <c r="F107" s="3" t="s">
        <v>22</v>
      </c>
      <c r="G107" s="1" t="s">
        <v>33</v>
      </c>
      <c r="V107" s="27"/>
    </row>
    <row r="108" customFormat="false" ht="12.8" hidden="false" customHeight="false" outlineLevel="1" collapsed="false">
      <c r="A108" s="1" t="s">
        <v>74</v>
      </c>
      <c r="E108" s="2" t="n">
        <v>1738</v>
      </c>
      <c r="F108" s="3" t="s">
        <v>26</v>
      </c>
      <c r="V108" s="27" t="n">
        <f aca="false">E108</f>
        <v>1738</v>
      </c>
    </row>
    <row r="109" customFormat="false" ht="12.8" hidden="false" customHeight="false" outlineLevel="1" collapsed="false">
      <c r="A109" s="1" t="s">
        <v>31</v>
      </c>
      <c r="D109" s="24"/>
      <c r="E109" s="24" t="n">
        <v>113.62</v>
      </c>
      <c r="F109" s="3" t="s">
        <v>26</v>
      </c>
      <c r="V109" s="27" t="n">
        <f aca="false">E109</f>
        <v>113.62</v>
      </c>
    </row>
    <row r="110" customFormat="false" ht="12.8" hidden="false" customHeight="false" outlineLevel="1" collapsed="false">
      <c r="A110" s="1" t="s">
        <v>75</v>
      </c>
      <c r="D110" s="22"/>
      <c r="E110" s="22" t="n">
        <v>1738</v>
      </c>
      <c r="F110" s="3" t="s">
        <v>26</v>
      </c>
      <c r="V110" s="27" t="n">
        <f aca="false">E110</f>
        <v>1738</v>
      </c>
    </row>
    <row r="111" customFormat="false" ht="12.8" hidden="false" customHeight="false" outlineLevel="1" collapsed="false">
      <c r="A111" s="1" t="s">
        <v>41</v>
      </c>
      <c r="D111" s="23"/>
      <c r="E111" s="23" t="n">
        <v>0</v>
      </c>
      <c r="F111" s="3" t="s">
        <v>26</v>
      </c>
      <c r="V111" s="27" t="n">
        <f aca="false">E111</f>
        <v>0</v>
      </c>
    </row>
    <row r="112" customFormat="false" ht="12.8" hidden="false" customHeight="false" outlineLevel="1" collapsed="false">
      <c r="F112" s="3" t="s">
        <v>22</v>
      </c>
    </row>
    <row r="113" customFormat="false" ht="12.8" hidden="false" customHeight="false" outlineLevel="0" collapsed="false">
      <c r="A113" s="9" t="s">
        <v>78</v>
      </c>
      <c r="F113" s="3" t="s">
        <v>26</v>
      </c>
    </row>
    <row r="114" customFormat="false" ht="12.8" hidden="false" customHeight="false" outlineLevel="1" collapsed="false">
      <c r="A114" s="1" t="s">
        <v>56</v>
      </c>
      <c r="D114" s="2" t="n">
        <v>10</v>
      </c>
      <c r="E114" s="2" t="n">
        <v>1</v>
      </c>
      <c r="F114" s="3" t="s">
        <v>26</v>
      </c>
      <c r="Q114" s="7" t="n">
        <v>1</v>
      </c>
    </row>
    <row r="115" customFormat="false" ht="12.8" hidden="false" customHeight="false" outlineLevel="1" collapsed="false">
      <c r="A115" s="1" t="s">
        <v>58</v>
      </c>
      <c r="D115" s="2" t="n">
        <v>10</v>
      </c>
      <c r="E115" s="2" t="n">
        <v>0</v>
      </c>
      <c r="F115" s="3" t="s">
        <v>26</v>
      </c>
      <c r="Q115" s="7" t="n">
        <v>0</v>
      </c>
    </row>
    <row r="116" customFormat="false" ht="12.8" hidden="false" customHeight="false" outlineLevel="1" collapsed="false">
      <c r="A116" s="1" t="s">
        <v>79</v>
      </c>
      <c r="D116" s="22"/>
      <c r="E116" s="22" t="n">
        <v>25300</v>
      </c>
      <c r="F116" s="3" t="s">
        <v>26</v>
      </c>
      <c r="R116" s="29" t="n">
        <f aca="false">E116</f>
        <v>25300</v>
      </c>
    </row>
    <row r="117" customFormat="false" ht="12.8" hidden="false" customHeight="false" outlineLevel="1" collapsed="false">
      <c r="A117" s="1" t="s">
        <v>80</v>
      </c>
      <c r="D117" s="22"/>
      <c r="E117" s="22" t="n">
        <v>29900</v>
      </c>
      <c r="F117" s="3" t="s">
        <v>26</v>
      </c>
      <c r="R117" s="29" t="n">
        <f aca="false">E117</f>
        <v>29900</v>
      </c>
    </row>
    <row r="118" customFormat="false" ht="12.8" hidden="false" customHeight="false" outlineLevel="1" collapsed="false">
      <c r="A118" s="1" t="s">
        <v>60</v>
      </c>
      <c r="D118" s="22"/>
      <c r="E118" s="22" t="n">
        <v>12</v>
      </c>
      <c r="F118" s="3" t="s">
        <v>24</v>
      </c>
      <c r="M118" s="22" t="n">
        <f aca="false">E118</f>
        <v>12</v>
      </c>
      <c r="S118" s="7" t="n">
        <v>12</v>
      </c>
      <c r="T118" s="7" t="n">
        <f aca="false">E114</f>
        <v>1</v>
      </c>
      <c r="U118" s="7" t="n">
        <f aca="false">S118*T118</f>
        <v>12</v>
      </c>
    </row>
    <row r="119" customFormat="false" ht="12.8" hidden="false" customHeight="false" outlineLevel="1" collapsed="false">
      <c r="A119" s="1" t="s">
        <v>62</v>
      </c>
      <c r="D119" s="22"/>
      <c r="E119" s="22" t="n">
        <v>0</v>
      </c>
      <c r="F119" s="3" t="s">
        <v>24</v>
      </c>
      <c r="M119" s="22" t="n">
        <f aca="false">E119</f>
        <v>0</v>
      </c>
      <c r="S119" s="7" t="n">
        <v>19</v>
      </c>
      <c r="T119" s="7" t="n">
        <f aca="false">E115</f>
        <v>0</v>
      </c>
      <c r="U119" s="7" t="n">
        <f aca="false">S119*T119</f>
        <v>0</v>
      </c>
    </row>
    <row r="120" customFormat="false" ht="12.8" hidden="false" customHeight="false" outlineLevel="1" collapsed="false">
      <c r="A120" s="1" t="s">
        <v>81</v>
      </c>
      <c r="E120" s="2" t="n">
        <v>23</v>
      </c>
      <c r="F120" s="3" t="s">
        <v>26</v>
      </c>
      <c r="R120" s="29" t="n">
        <f aca="false">E120</f>
        <v>23</v>
      </c>
    </row>
    <row r="121" customFormat="false" ht="12.8" hidden="false" customHeight="false" outlineLevel="1" collapsed="false">
      <c r="A121" s="1" t="s">
        <v>82</v>
      </c>
      <c r="E121" s="2" t="n">
        <v>24</v>
      </c>
      <c r="F121" s="3" t="s">
        <v>26</v>
      </c>
      <c r="R121" s="29" t="n">
        <f aca="false">E121</f>
        <v>24</v>
      </c>
    </row>
    <row r="122" customFormat="false" ht="12.8" hidden="false" customHeight="false" outlineLevel="1" collapsed="false">
      <c r="A122" s="1" t="s">
        <v>83</v>
      </c>
      <c r="E122" s="2" t="n">
        <v>23</v>
      </c>
      <c r="F122" s="3" t="s">
        <v>26</v>
      </c>
      <c r="R122" s="29" t="n">
        <f aca="false">E122</f>
        <v>23</v>
      </c>
    </row>
    <row r="123" customFormat="false" ht="12.8" hidden="false" customHeight="false" outlineLevel="1" collapsed="false">
      <c r="A123" s="1" t="s">
        <v>84</v>
      </c>
      <c r="E123" s="2" t="n">
        <v>23</v>
      </c>
      <c r="F123" s="3" t="s">
        <v>26</v>
      </c>
      <c r="R123" s="29" t="n">
        <f aca="false">E123</f>
        <v>23</v>
      </c>
    </row>
    <row r="124" customFormat="false" ht="12.8" hidden="false" customHeight="false" outlineLevel="1" collapsed="false">
      <c r="F124" s="3" t="s">
        <v>22</v>
      </c>
    </row>
    <row r="125" customFormat="false" ht="12.8" hidden="false" customHeight="false" outlineLevel="0" collapsed="false">
      <c r="A125" s="9" t="s">
        <v>85</v>
      </c>
      <c r="F125" s="3" t="s">
        <v>26</v>
      </c>
    </row>
    <row r="126" customFormat="false" ht="12.8" hidden="false" customHeight="false" outlineLevel="1" collapsed="false">
      <c r="A126" s="1" t="s">
        <v>56</v>
      </c>
      <c r="D126" s="2" t="n">
        <v>10</v>
      </c>
      <c r="E126" s="2" t="n">
        <v>2</v>
      </c>
      <c r="F126" s="3" t="s">
        <v>26</v>
      </c>
      <c r="Q126" s="7" t="n">
        <v>2</v>
      </c>
    </row>
    <row r="127" customFormat="false" ht="12.8" hidden="false" customHeight="false" outlineLevel="1" collapsed="false">
      <c r="A127" s="1" t="s">
        <v>58</v>
      </c>
      <c r="D127" s="2" t="n">
        <v>10</v>
      </c>
      <c r="E127" s="2" t="n">
        <v>4</v>
      </c>
      <c r="F127" s="3" t="s">
        <v>26</v>
      </c>
      <c r="Q127" s="7" t="n">
        <v>4</v>
      </c>
    </row>
    <row r="128" customFormat="false" ht="12.8" hidden="false" customHeight="false" outlineLevel="1" collapsed="false">
      <c r="A128" s="1" t="s">
        <v>79</v>
      </c>
      <c r="D128" s="22"/>
      <c r="E128" s="22" t="n">
        <v>16100</v>
      </c>
      <c r="F128" s="3" t="s">
        <v>26</v>
      </c>
      <c r="R128" s="29" t="n">
        <f aca="false">E128</f>
        <v>16100</v>
      </c>
    </row>
    <row r="129" customFormat="false" ht="12.8" hidden="false" customHeight="false" outlineLevel="1" collapsed="false">
      <c r="A129" s="1" t="s">
        <v>80</v>
      </c>
      <c r="D129" s="22"/>
      <c r="E129" s="22" t="n">
        <v>19500</v>
      </c>
      <c r="F129" s="3" t="s">
        <v>26</v>
      </c>
      <c r="R129" s="29" t="n">
        <f aca="false">E129</f>
        <v>19500</v>
      </c>
    </row>
    <row r="130" customFormat="false" ht="12.8" hidden="false" customHeight="false" outlineLevel="1" collapsed="false">
      <c r="A130" s="1" t="s">
        <v>60</v>
      </c>
      <c r="D130" s="22"/>
      <c r="E130" s="22" t="n">
        <v>24</v>
      </c>
      <c r="F130" s="3" t="s">
        <v>24</v>
      </c>
      <c r="M130" s="22" t="n">
        <f aca="false">E130</f>
        <v>24</v>
      </c>
      <c r="S130" s="7" t="n">
        <v>12</v>
      </c>
      <c r="T130" s="7" t="n">
        <f aca="false">E126</f>
        <v>2</v>
      </c>
      <c r="U130" s="7" t="n">
        <f aca="false">S130*T130</f>
        <v>24</v>
      </c>
    </row>
    <row r="131" customFormat="false" ht="12.8" hidden="false" customHeight="false" outlineLevel="1" collapsed="false">
      <c r="A131" s="1" t="s">
        <v>62</v>
      </c>
      <c r="D131" s="22"/>
      <c r="E131" s="22" t="n">
        <v>76</v>
      </c>
      <c r="F131" s="3" t="s">
        <v>24</v>
      </c>
      <c r="M131" s="22" t="n">
        <f aca="false">E131</f>
        <v>76</v>
      </c>
      <c r="S131" s="7" t="n">
        <v>19</v>
      </c>
      <c r="T131" s="7" t="n">
        <f aca="false">E127</f>
        <v>4</v>
      </c>
      <c r="U131" s="7" t="n">
        <f aca="false">S131*T131</f>
        <v>76</v>
      </c>
    </row>
    <row r="132" customFormat="false" ht="12.8" hidden="false" customHeight="false" outlineLevel="1" collapsed="false">
      <c r="A132" s="1" t="s">
        <v>81</v>
      </c>
      <c r="E132" s="2" t="n">
        <v>23</v>
      </c>
      <c r="F132" s="3" t="s">
        <v>26</v>
      </c>
      <c r="R132" s="29" t="n">
        <f aca="false">E132</f>
        <v>23</v>
      </c>
    </row>
    <row r="133" customFormat="false" ht="12.8" hidden="false" customHeight="false" outlineLevel="1" collapsed="false">
      <c r="A133" s="1" t="s">
        <v>82</v>
      </c>
      <c r="E133" s="2" t="n">
        <v>15</v>
      </c>
      <c r="F133" s="3" t="s">
        <v>26</v>
      </c>
      <c r="R133" s="29" t="n">
        <f aca="false">E133</f>
        <v>15</v>
      </c>
    </row>
    <row r="134" customFormat="false" ht="12.8" hidden="false" customHeight="false" outlineLevel="1" collapsed="false">
      <c r="A134" s="1" t="s">
        <v>83</v>
      </c>
      <c r="E134" s="2" t="n">
        <v>23</v>
      </c>
      <c r="F134" s="3" t="s">
        <v>26</v>
      </c>
      <c r="R134" s="29" t="n">
        <f aca="false">E134</f>
        <v>23</v>
      </c>
    </row>
    <row r="135" customFormat="false" ht="12.8" hidden="false" customHeight="false" outlineLevel="1" collapsed="false">
      <c r="A135" s="1" t="s">
        <v>84</v>
      </c>
      <c r="E135" s="2" t="n">
        <v>15</v>
      </c>
      <c r="F135" s="3" t="s">
        <v>26</v>
      </c>
      <c r="R135" s="29" t="n">
        <f aca="false">E135</f>
        <v>15</v>
      </c>
    </row>
    <row r="136" customFormat="false" ht="12.8" hidden="false" customHeight="false" outlineLevel="1" collapsed="false">
      <c r="F136" s="3" t="s">
        <v>22</v>
      </c>
    </row>
    <row r="137" customFormat="false" ht="12.8" hidden="false" customHeight="false" outlineLevel="0" collapsed="false">
      <c r="A137" s="9" t="s">
        <v>86</v>
      </c>
      <c r="F137" s="3" t="s">
        <v>26</v>
      </c>
    </row>
    <row r="138" customFormat="false" ht="12.8" hidden="false" customHeight="false" outlineLevel="1" collapsed="false">
      <c r="A138" s="1" t="s">
        <v>56</v>
      </c>
      <c r="D138" s="2" t="n">
        <v>10</v>
      </c>
      <c r="E138" s="2" t="n">
        <v>1</v>
      </c>
      <c r="F138" s="3" t="s">
        <v>26</v>
      </c>
      <c r="Q138" s="7" t="n">
        <v>0</v>
      </c>
    </row>
    <row r="139" customFormat="false" ht="12.8" hidden="false" customHeight="false" outlineLevel="1" collapsed="false">
      <c r="A139" s="1" t="s">
        <v>58</v>
      </c>
      <c r="D139" s="2" t="n">
        <v>10</v>
      </c>
      <c r="E139" s="2" t="n">
        <v>5</v>
      </c>
      <c r="F139" s="3" t="s">
        <v>26</v>
      </c>
      <c r="Q139" s="7" t="n">
        <v>0</v>
      </c>
    </row>
    <row r="140" customFormat="false" ht="12.8" hidden="false" customHeight="false" outlineLevel="1" collapsed="false">
      <c r="A140" s="1" t="s">
        <v>79</v>
      </c>
      <c r="D140" s="22"/>
      <c r="E140" s="22" t="n">
        <v>20000</v>
      </c>
      <c r="F140" s="3" t="s">
        <v>26</v>
      </c>
      <c r="R140" s="29" t="n">
        <f aca="false">E140</f>
        <v>20000</v>
      </c>
    </row>
    <row r="141" customFormat="false" ht="12.8" hidden="false" customHeight="false" outlineLevel="1" collapsed="false">
      <c r="A141" s="1" t="s">
        <v>80</v>
      </c>
      <c r="D141" s="22"/>
      <c r="E141" s="22" t="n">
        <v>32000</v>
      </c>
      <c r="F141" s="3" t="s">
        <v>26</v>
      </c>
      <c r="R141" s="29" t="n">
        <f aca="false">E141</f>
        <v>32000</v>
      </c>
    </row>
    <row r="142" customFormat="false" ht="12.8" hidden="false" customHeight="false" outlineLevel="1" collapsed="false">
      <c r="A142" s="1" t="s">
        <v>60</v>
      </c>
      <c r="D142" s="22"/>
      <c r="E142" s="22" t="n">
        <v>12</v>
      </c>
      <c r="F142" s="3" t="s">
        <v>24</v>
      </c>
      <c r="M142" s="22" t="n">
        <f aca="false">E142</f>
        <v>12</v>
      </c>
      <c r="S142" s="7" t="n">
        <v>12</v>
      </c>
      <c r="T142" s="7" t="n">
        <f aca="false">E138</f>
        <v>1</v>
      </c>
      <c r="U142" s="7" t="n">
        <f aca="false">S142*T142</f>
        <v>12</v>
      </c>
    </row>
    <row r="143" customFormat="false" ht="12.8" hidden="false" customHeight="false" outlineLevel="1" collapsed="false">
      <c r="A143" s="1" t="s">
        <v>62</v>
      </c>
      <c r="D143" s="22"/>
      <c r="E143" s="22" t="n">
        <v>95</v>
      </c>
      <c r="F143" s="3" t="s">
        <v>24</v>
      </c>
      <c r="M143" s="22" t="n">
        <f aca="false">E143</f>
        <v>95</v>
      </c>
      <c r="S143" s="7" t="n">
        <v>19</v>
      </c>
      <c r="T143" s="7" t="n">
        <f aca="false">E139</f>
        <v>5</v>
      </c>
      <c r="U143" s="7" t="n">
        <f aca="false">S143*T143</f>
        <v>95</v>
      </c>
    </row>
    <row r="144" customFormat="false" ht="12.8" hidden="false" customHeight="false" outlineLevel="1" collapsed="false">
      <c r="A144" s="1" t="s">
        <v>81</v>
      </c>
      <c r="E144" s="2" t="n">
        <v>20</v>
      </c>
      <c r="F144" s="3" t="s">
        <v>26</v>
      </c>
      <c r="R144" s="29" t="n">
        <f aca="false">E144</f>
        <v>20</v>
      </c>
    </row>
    <row r="145" customFormat="false" ht="12.8" hidden="false" customHeight="false" outlineLevel="1" collapsed="false">
      <c r="A145" s="1" t="s">
        <v>82</v>
      </c>
      <c r="E145" s="2" t="n">
        <v>20</v>
      </c>
      <c r="F145" s="3" t="s">
        <v>26</v>
      </c>
      <c r="R145" s="29" t="n">
        <f aca="false">E145</f>
        <v>20</v>
      </c>
    </row>
    <row r="146" customFormat="false" ht="12.8" hidden="false" customHeight="false" outlineLevel="1" collapsed="false">
      <c r="A146" s="1" t="s">
        <v>83</v>
      </c>
      <c r="E146" s="2" t="n">
        <v>20</v>
      </c>
      <c r="F146" s="3" t="s">
        <v>26</v>
      </c>
      <c r="R146" s="29" t="n">
        <f aca="false">E146</f>
        <v>20</v>
      </c>
    </row>
    <row r="147" customFormat="false" ht="12.8" hidden="false" customHeight="false" outlineLevel="1" collapsed="false">
      <c r="A147" s="1" t="s">
        <v>84</v>
      </c>
      <c r="E147" s="2" t="n">
        <v>20</v>
      </c>
      <c r="F147" s="3" t="s">
        <v>26</v>
      </c>
      <c r="R147" s="29" t="n">
        <f aca="false">E147</f>
        <v>20</v>
      </c>
    </row>
    <row r="148" customFormat="false" ht="12.8" hidden="false" customHeight="false" outlineLevel="1" collapsed="false">
      <c r="F148" s="3" t="s">
        <v>22</v>
      </c>
    </row>
    <row r="149" customFormat="false" ht="12.8" hidden="false" customHeight="false" outlineLevel="0" collapsed="false">
      <c r="A149" s="9" t="s">
        <v>87</v>
      </c>
      <c r="F149" s="3" t="s">
        <v>26</v>
      </c>
    </row>
    <row r="150" customFormat="false" ht="12.8" hidden="false" customHeight="false" outlineLevel="1" collapsed="false">
      <c r="A150" s="1" t="s">
        <v>56</v>
      </c>
      <c r="D150" s="2" t="n">
        <v>10</v>
      </c>
      <c r="E150" s="2" t="n">
        <v>0</v>
      </c>
      <c r="F150" s="3" t="s">
        <v>26</v>
      </c>
      <c r="R150" s="29" t="n">
        <f aca="false">E150</f>
        <v>0</v>
      </c>
    </row>
    <row r="151" customFormat="false" ht="12.8" hidden="false" customHeight="false" outlineLevel="1" collapsed="false">
      <c r="A151" s="1" t="s">
        <v>58</v>
      </c>
      <c r="D151" s="2" t="n">
        <v>10</v>
      </c>
      <c r="E151" s="2" t="n">
        <v>0</v>
      </c>
      <c r="F151" s="3" t="s">
        <v>26</v>
      </c>
      <c r="R151" s="29" t="n">
        <f aca="false">E151</f>
        <v>0</v>
      </c>
    </row>
    <row r="152" customFormat="false" ht="12.8" hidden="false" customHeight="false" outlineLevel="1" collapsed="false">
      <c r="A152" s="1" t="s">
        <v>79</v>
      </c>
      <c r="D152" s="22"/>
      <c r="E152" s="22" t="n">
        <v>9000</v>
      </c>
      <c r="F152" s="3" t="s">
        <v>26</v>
      </c>
      <c r="R152" s="29" t="n">
        <f aca="false">E152</f>
        <v>9000</v>
      </c>
    </row>
    <row r="153" customFormat="false" ht="12.8" hidden="false" customHeight="false" outlineLevel="1" collapsed="false">
      <c r="A153" s="1" t="s">
        <v>80</v>
      </c>
      <c r="D153" s="22"/>
      <c r="E153" s="22" t="n">
        <v>13200</v>
      </c>
      <c r="F153" s="3" t="s">
        <v>26</v>
      </c>
      <c r="R153" s="29" t="n">
        <f aca="false">E153</f>
        <v>13200</v>
      </c>
    </row>
    <row r="154" customFormat="false" ht="12.8" hidden="false" customHeight="false" outlineLevel="1" collapsed="false">
      <c r="A154" s="1" t="s">
        <v>60</v>
      </c>
      <c r="D154" s="22"/>
      <c r="E154" s="22" t="n">
        <v>0</v>
      </c>
      <c r="F154" s="3" t="s">
        <v>24</v>
      </c>
      <c r="M154" s="22" t="n">
        <f aca="false">E154</f>
        <v>0</v>
      </c>
      <c r="S154" s="7" t="n">
        <v>12</v>
      </c>
      <c r="T154" s="7" t="n">
        <f aca="false">E150</f>
        <v>0</v>
      </c>
      <c r="U154" s="7" t="n">
        <f aca="false">S154*T154</f>
        <v>0</v>
      </c>
    </row>
    <row r="155" customFormat="false" ht="12.8" hidden="false" customHeight="false" outlineLevel="1" collapsed="false">
      <c r="A155" s="1" t="s">
        <v>62</v>
      </c>
      <c r="D155" s="22"/>
      <c r="E155" s="22" t="n">
        <v>0</v>
      </c>
      <c r="F155" s="3" t="s">
        <v>24</v>
      </c>
      <c r="M155" s="22" t="n">
        <f aca="false">E155</f>
        <v>0</v>
      </c>
      <c r="S155" s="7" t="n">
        <v>19</v>
      </c>
      <c r="T155" s="7" t="n">
        <f aca="false">E151</f>
        <v>0</v>
      </c>
      <c r="U155" s="7" t="n">
        <f aca="false">S155*T155</f>
        <v>0</v>
      </c>
    </row>
    <row r="156" customFormat="false" ht="12.8" hidden="false" customHeight="false" outlineLevel="1" collapsed="false">
      <c r="A156" s="1" t="s">
        <v>81</v>
      </c>
      <c r="E156" s="2" t="n">
        <v>17</v>
      </c>
      <c r="F156" s="3" t="s">
        <v>26</v>
      </c>
      <c r="R156" s="7" t="n">
        <f aca="false">E156</f>
        <v>17</v>
      </c>
    </row>
    <row r="157" customFormat="false" ht="12.8" hidden="false" customHeight="false" outlineLevel="1" collapsed="false">
      <c r="A157" s="1" t="s">
        <v>82</v>
      </c>
      <c r="E157" s="2" t="n">
        <v>11</v>
      </c>
      <c r="F157" s="3" t="s">
        <v>26</v>
      </c>
      <c r="R157" s="7" t="n">
        <f aca="false">E157</f>
        <v>11</v>
      </c>
    </row>
    <row r="158" customFormat="false" ht="12.8" hidden="false" customHeight="false" outlineLevel="1" collapsed="false">
      <c r="A158" s="1" t="s">
        <v>83</v>
      </c>
      <c r="E158" s="2" t="n">
        <v>15</v>
      </c>
      <c r="F158" s="3" t="s">
        <v>26</v>
      </c>
      <c r="R158" s="7" t="n">
        <f aca="false">E158</f>
        <v>15</v>
      </c>
    </row>
    <row r="159" customFormat="false" ht="12.8" hidden="false" customHeight="false" outlineLevel="1" collapsed="false">
      <c r="A159" s="1" t="s">
        <v>84</v>
      </c>
      <c r="E159" s="2" t="n">
        <v>11</v>
      </c>
      <c r="F159" s="3" t="s">
        <v>26</v>
      </c>
      <c r="R159" s="7" t="n">
        <f aca="false">E159</f>
        <v>11</v>
      </c>
    </row>
    <row r="160" customFormat="false" ht="12.8" hidden="false" customHeight="false" outlineLevel="1" collapsed="false">
      <c r="F160" s="3" t="s">
        <v>22</v>
      </c>
    </row>
    <row r="161" customFormat="false" ht="12.8" hidden="false" customHeight="false" outlineLevel="0" collapsed="false">
      <c r="A161" s="9" t="s">
        <v>88</v>
      </c>
      <c r="F161" s="3" t="s">
        <v>26</v>
      </c>
    </row>
    <row r="162" customFormat="false" ht="12.8" hidden="false" customHeight="false" outlineLevel="1" collapsed="false">
      <c r="A162" s="1" t="s">
        <v>56</v>
      </c>
      <c r="D162" s="2" t="n">
        <v>10</v>
      </c>
      <c r="E162" s="2" t="n">
        <v>0</v>
      </c>
      <c r="F162" s="3" t="s">
        <v>26</v>
      </c>
      <c r="Q162" s="7" t="n">
        <v>0</v>
      </c>
    </row>
    <row r="163" customFormat="false" ht="12.8" hidden="false" customHeight="false" outlineLevel="1" collapsed="false">
      <c r="A163" s="1" t="s">
        <v>58</v>
      </c>
      <c r="D163" s="2" t="n">
        <v>10</v>
      </c>
      <c r="E163" s="2" t="n">
        <v>1</v>
      </c>
      <c r="F163" s="3" t="s">
        <v>26</v>
      </c>
      <c r="Q163" s="7" t="n">
        <v>1</v>
      </c>
    </row>
    <row r="164" customFormat="false" ht="12.8" hidden="false" customHeight="false" outlineLevel="1" collapsed="false">
      <c r="A164" s="1" t="s">
        <v>79</v>
      </c>
      <c r="D164" s="22"/>
      <c r="E164" s="22" t="n">
        <v>19200</v>
      </c>
      <c r="F164" s="3" t="s">
        <v>26</v>
      </c>
      <c r="R164" s="29" t="n">
        <f aca="false">E164</f>
        <v>19200</v>
      </c>
    </row>
    <row r="165" customFormat="false" ht="12.8" hidden="false" customHeight="false" outlineLevel="1" collapsed="false">
      <c r="A165" s="1" t="s">
        <v>80</v>
      </c>
      <c r="D165" s="22"/>
      <c r="E165" s="22" t="n">
        <v>21000</v>
      </c>
      <c r="F165" s="3" t="s">
        <v>26</v>
      </c>
      <c r="R165" s="29" t="n">
        <f aca="false">E165</f>
        <v>21000</v>
      </c>
    </row>
    <row r="166" customFormat="false" ht="12.8" hidden="false" customHeight="false" outlineLevel="1" collapsed="false">
      <c r="A166" s="1" t="s">
        <v>60</v>
      </c>
      <c r="D166" s="22"/>
      <c r="E166" s="22" t="n">
        <v>0</v>
      </c>
      <c r="F166" s="3" t="s">
        <v>24</v>
      </c>
      <c r="M166" s="22" t="n">
        <f aca="false">E166</f>
        <v>0</v>
      </c>
      <c r="S166" s="7" t="n">
        <v>12</v>
      </c>
      <c r="T166" s="7" t="n">
        <f aca="false">E162</f>
        <v>0</v>
      </c>
      <c r="U166" s="7" t="n">
        <f aca="false">S166*T166</f>
        <v>0</v>
      </c>
    </row>
    <row r="167" customFormat="false" ht="12.8" hidden="false" customHeight="false" outlineLevel="1" collapsed="false">
      <c r="A167" s="1" t="s">
        <v>62</v>
      </c>
      <c r="D167" s="22"/>
      <c r="E167" s="22" t="n">
        <v>19</v>
      </c>
      <c r="F167" s="3" t="s">
        <v>24</v>
      </c>
      <c r="M167" s="22" t="n">
        <f aca="false">E167</f>
        <v>19</v>
      </c>
      <c r="S167" s="7" t="n">
        <v>19</v>
      </c>
      <c r="T167" s="7" t="n">
        <f aca="false">E163</f>
        <v>1</v>
      </c>
      <c r="U167" s="7" t="n">
        <f aca="false">S167*T167</f>
        <v>19</v>
      </c>
    </row>
    <row r="168" customFormat="false" ht="12.8" hidden="false" customHeight="false" outlineLevel="1" collapsed="false">
      <c r="A168" s="1" t="s">
        <v>81</v>
      </c>
      <c r="E168" s="2" t="n">
        <v>26</v>
      </c>
      <c r="F168" s="3" t="s">
        <v>26</v>
      </c>
      <c r="R168" s="7" t="n">
        <f aca="false">E168</f>
        <v>26</v>
      </c>
    </row>
    <row r="169" customFormat="false" ht="12.8" hidden="false" customHeight="false" outlineLevel="1" collapsed="false">
      <c r="A169" s="1" t="s">
        <v>82</v>
      </c>
      <c r="E169" s="2" t="n">
        <v>15</v>
      </c>
      <c r="F169" s="3" t="s">
        <v>26</v>
      </c>
      <c r="R169" s="7" t="n">
        <f aca="false">E169</f>
        <v>15</v>
      </c>
    </row>
    <row r="170" customFormat="false" ht="12.8" hidden="false" customHeight="false" outlineLevel="1" collapsed="false">
      <c r="A170" s="1" t="s">
        <v>83</v>
      </c>
      <c r="E170" s="2" t="n">
        <v>24</v>
      </c>
      <c r="F170" s="3" t="s">
        <v>26</v>
      </c>
      <c r="R170" s="7" t="n">
        <f aca="false">E170</f>
        <v>24</v>
      </c>
    </row>
    <row r="171" customFormat="false" ht="12.8" hidden="false" customHeight="false" outlineLevel="1" collapsed="false">
      <c r="A171" s="1" t="s">
        <v>84</v>
      </c>
      <c r="E171" s="2" t="n">
        <v>15</v>
      </c>
      <c r="F171" s="3" t="s">
        <v>26</v>
      </c>
      <c r="R171" s="7" t="n">
        <f aca="false">E171</f>
        <v>15</v>
      </c>
    </row>
    <row r="172" customFormat="false" ht="12.8" hidden="false" customHeight="false" outlineLevel="1" collapsed="false">
      <c r="F172" s="3" t="s">
        <v>22</v>
      </c>
    </row>
    <row r="173" customFormat="false" ht="12.8" hidden="false" customHeight="false" outlineLevel="0" collapsed="false">
      <c r="A173" s="9" t="s">
        <v>89</v>
      </c>
      <c r="F173" s="3" t="s">
        <v>26</v>
      </c>
    </row>
    <row r="174" customFormat="false" ht="12.8" hidden="false" customHeight="false" outlineLevel="1" collapsed="false">
      <c r="A174" s="1" t="s">
        <v>56</v>
      </c>
      <c r="D174" s="2" t="n">
        <v>10</v>
      </c>
      <c r="E174" s="2" t="n">
        <v>7</v>
      </c>
      <c r="F174" s="3" t="s">
        <v>26</v>
      </c>
      <c r="Q174" s="7" t="n">
        <v>7</v>
      </c>
    </row>
    <row r="175" customFormat="false" ht="12.8" hidden="false" customHeight="false" outlineLevel="1" collapsed="false">
      <c r="A175" s="1" t="s">
        <v>58</v>
      </c>
      <c r="D175" s="2" t="n">
        <v>10</v>
      </c>
      <c r="E175" s="2" t="n">
        <v>3</v>
      </c>
      <c r="F175" s="3" t="s">
        <v>26</v>
      </c>
      <c r="Q175" s="7" t="n">
        <v>3</v>
      </c>
    </row>
    <row r="176" customFormat="false" ht="12.8" hidden="false" customHeight="false" outlineLevel="1" collapsed="false">
      <c r="A176" s="1" t="s">
        <v>79</v>
      </c>
      <c r="D176" s="22"/>
      <c r="E176" s="22" t="n">
        <v>16800</v>
      </c>
      <c r="F176" s="3" t="s">
        <v>26</v>
      </c>
      <c r="R176" s="29" t="n">
        <f aca="false">E176</f>
        <v>16800</v>
      </c>
    </row>
    <row r="177" customFormat="false" ht="12.8" hidden="false" customHeight="false" outlineLevel="1" collapsed="false">
      <c r="A177" s="1" t="s">
        <v>80</v>
      </c>
      <c r="D177" s="22"/>
      <c r="E177" s="22" t="n">
        <v>18200</v>
      </c>
      <c r="F177" s="3" t="s">
        <v>26</v>
      </c>
      <c r="R177" s="29" t="n">
        <f aca="false">E177</f>
        <v>18200</v>
      </c>
    </row>
    <row r="178" customFormat="false" ht="12.8" hidden="false" customHeight="false" outlineLevel="1" collapsed="false">
      <c r="A178" s="1" t="s">
        <v>60</v>
      </c>
      <c r="D178" s="22"/>
      <c r="E178" s="22" t="n">
        <v>84</v>
      </c>
      <c r="F178" s="3" t="s">
        <v>24</v>
      </c>
      <c r="M178" s="22" t="n">
        <f aca="false">E178</f>
        <v>84</v>
      </c>
      <c r="S178" s="7" t="n">
        <v>12</v>
      </c>
      <c r="T178" s="7" t="n">
        <f aca="false">E174</f>
        <v>7</v>
      </c>
      <c r="U178" s="7" t="n">
        <f aca="false">S178*T178</f>
        <v>84</v>
      </c>
    </row>
    <row r="179" customFormat="false" ht="12.8" hidden="false" customHeight="false" outlineLevel="1" collapsed="false">
      <c r="A179" s="1" t="s">
        <v>62</v>
      </c>
      <c r="D179" s="22"/>
      <c r="E179" s="22" t="n">
        <v>57</v>
      </c>
      <c r="F179" s="3" t="s">
        <v>24</v>
      </c>
      <c r="M179" s="22" t="n">
        <f aca="false">E179</f>
        <v>57</v>
      </c>
      <c r="S179" s="7" t="n">
        <v>19</v>
      </c>
      <c r="T179" s="7" t="n">
        <f aca="false">E175</f>
        <v>3</v>
      </c>
      <c r="U179" s="7" t="n">
        <f aca="false">S179*T179</f>
        <v>57</v>
      </c>
    </row>
    <row r="180" customFormat="false" ht="12.8" hidden="false" customHeight="false" outlineLevel="1" collapsed="false">
      <c r="A180" s="1" t="s">
        <v>81</v>
      </c>
      <c r="E180" s="2" t="n">
        <v>24</v>
      </c>
      <c r="F180" s="3" t="s">
        <v>26</v>
      </c>
      <c r="R180" s="29" t="n">
        <f aca="false">E180</f>
        <v>24</v>
      </c>
    </row>
    <row r="181" customFormat="false" ht="12.8" hidden="false" customHeight="false" outlineLevel="1" collapsed="false">
      <c r="A181" s="1" t="s">
        <v>82</v>
      </c>
      <c r="E181" s="2" t="n">
        <v>14</v>
      </c>
      <c r="F181" s="3" t="s">
        <v>26</v>
      </c>
      <c r="R181" s="29" t="n">
        <f aca="false">E181</f>
        <v>14</v>
      </c>
    </row>
    <row r="182" customFormat="false" ht="12.8" hidden="false" customHeight="false" outlineLevel="1" collapsed="false">
      <c r="A182" s="1" t="s">
        <v>83</v>
      </c>
      <c r="E182" s="2" t="n">
        <v>24</v>
      </c>
      <c r="F182" s="3" t="s">
        <v>26</v>
      </c>
      <c r="R182" s="29" t="n">
        <f aca="false">E182</f>
        <v>24</v>
      </c>
    </row>
    <row r="183" customFormat="false" ht="12.8" hidden="false" customHeight="false" outlineLevel="1" collapsed="false">
      <c r="A183" s="1" t="s">
        <v>84</v>
      </c>
      <c r="E183" s="2" t="n">
        <v>14</v>
      </c>
      <c r="F183" s="3" t="s">
        <v>26</v>
      </c>
      <c r="R183" s="29" t="n">
        <f aca="false">E183</f>
        <v>14</v>
      </c>
    </row>
    <row r="184" customFormat="false" ht="12.8" hidden="false" customHeight="false" outlineLevel="1" collapsed="false">
      <c r="F184" s="3" t="s">
        <v>22</v>
      </c>
    </row>
    <row r="185" customFormat="false" ht="12.8" hidden="false" customHeight="false" outlineLevel="0" collapsed="false">
      <c r="A185" s="9" t="s">
        <v>90</v>
      </c>
      <c r="F185" s="3" t="s">
        <v>26</v>
      </c>
    </row>
    <row r="186" customFormat="false" ht="12.8" hidden="false" customHeight="false" outlineLevel="1" collapsed="false">
      <c r="A186" s="1" t="s">
        <v>56</v>
      </c>
      <c r="D186" s="2" t="n">
        <v>10</v>
      </c>
      <c r="E186" s="2" t="n">
        <v>0</v>
      </c>
      <c r="F186" s="3" t="s">
        <v>26</v>
      </c>
      <c r="Q186" s="7" t="n">
        <v>0</v>
      </c>
    </row>
    <row r="187" customFormat="false" ht="12.8" hidden="false" customHeight="false" outlineLevel="1" collapsed="false">
      <c r="A187" s="1" t="s">
        <v>58</v>
      </c>
      <c r="D187" s="2" t="n">
        <v>10</v>
      </c>
      <c r="E187" s="2" t="n">
        <v>1</v>
      </c>
      <c r="F187" s="3" t="s">
        <v>26</v>
      </c>
      <c r="Q187" s="7" t="n">
        <v>1</v>
      </c>
    </row>
    <row r="188" customFormat="false" ht="12.8" hidden="false" customHeight="false" outlineLevel="1" collapsed="false">
      <c r="A188" s="1" t="s">
        <v>79</v>
      </c>
      <c r="D188" s="22"/>
      <c r="E188" s="22" t="n">
        <v>14400</v>
      </c>
      <c r="F188" s="3" t="s">
        <v>26</v>
      </c>
      <c r="R188" s="29" t="n">
        <f aca="false">E188</f>
        <v>14400</v>
      </c>
    </row>
    <row r="189" customFormat="false" ht="12.8" hidden="false" customHeight="false" outlineLevel="1" collapsed="false">
      <c r="A189" s="1" t="s">
        <v>80</v>
      </c>
      <c r="D189" s="22"/>
      <c r="E189" s="22" t="n">
        <v>30000</v>
      </c>
      <c r="F189" s="3" t="s">
        <v>26</v>
      </c>
      <c r="R189" s="29" t="n">
        <f aca="false">E189</f>
        <v>30000</v>
      </c>
    </row>
    <row r="190" customFormat="false" ht="12.8" hidden="false" customHeight="false" outlineLevel="1" collapsed="false">
      <c r="A190" s="1" t="s">
        <v>60</v>
      </c>
      <c r="D190" s="22"/>
      <c r="E190" s="22" t="n">
        <v>0</v>
      </c>
      <c r="F190" s="3" t="s">
        <v>24</v>
      </c>
      <c r="M190" s="22" t="n">
        <f aca="false">E190</f>
        <v>0</v>
      </c>
      <c r="S190" s="7" t="n">
        <v>12</v>
      </c>
      <c r="T190" s="7" t="n">
        <f aca="false">E186</f>
        <v>0</v>
      </c>
      <c r="U190" s="7" t="n">
        <f aca="false">S190*T190</f>
        <v>0</v>
      </c>
    </row>
    <row r="191" customFormat="false" ht="12.8" hidden="false" customHeight="false" outlineLevel="1" collapsed="false">
      <c r="A191" s="1" t="s">
        <v>62</v>
      </c>
      <c r="D191" s="22"/>
      <c r="E191" s="22" t="n">
        <v>19</v>
      </c>
      <c r="F191" s="3" t="s">
        <v>24</v>
      </c>
      <c r="M191" s="22" t="n">
        <f aca="false">E191</f>
        <v>19</v>
      </c>
      <c r="S191" s="7" t="n">
        <v>19</v>
      </c>
      <c r="T191" s="7" t="n">
        <f aca="false">E187</f>
        <v>1</v>
      </c>
      <c r="U191" s="7" t="n">
        <f aca="false">S191*T191</f>
        <v>19</v>
      </c>
    </row>
    <row r="192" customFormat="false" ht="12.8" hidden="false" customHeight="false" outlineLevel="1" collapsed="false">
      <c r="A192" s="1" t="s">
        <v>81</v>
      </c>
      <c r="E192" s="2" t="n">
        <v>20</v>
      </c>
      <c r="F192" s="3" t="s">
        <v>26</v>
      </c>
      <c r="R192" s="29" t="n">
        <f aca="false">E192</f>
        <v>20</v>
      </c>
    </row>
    <row r="193" customFormat="false" ht="12.8" hidden="false" customHeight="false" outlineLevel="1" collapsed="false">
      <c r="A193" s="1" t="s">
        <v>82</v>
      </c>
      <c r="E193" s="2" t="n">
        <v>20</v>
      </c>
      <c r="F193" s="3" t="s">
        <v>26</v>
      </c>
      <c r="R193" s="29" t="n">
        <f aca="false">E193</f>
        <v>20</v>
      </c>
    </row>
    <row r="194" customFormat="false" ht="12.8" hidden="false" customHeight="false" outlineLevel="1" collapsed="false">
      <c r="A194" s="1" t="s">
        <v>83</v>
      </c>
      <c r="E194" s="2" t="n">
        <v>16</v>
      </c>
      <c r="F194" s="3" t="s">
        <v>26</v>
      </c>
      <c r="R194" s="29" t="n">
        <f aca="false">E194</f>
        <v>16</v>
      </c>
    </row>
    <row r="195" customFormat="false" ht="12.8" hidden="false" customHeight="false" outlineLevel="1" collapsed="false">
      <c r="A195" s="1" t="s">
        <v>84</v>
      </c>
      <c r="E195" s="2" t="n">
        <v>20</v>
      </c>
      <c r="F195" s="3" t="s">
        <v>26</v>
      </c>
      <c r="R195" s="29" t="n">
        <f aca="false">E195</f>
        <v>20</v>
      </c>
    </row>
    <row r="196" customFormat="false" ht="12.8" hidden="false" customHeight="false" outlineLevel="1" collapsed="false">
      <c r="F196" s="3" t="s">
        <v>22</v>
      </c>
    </row>
    <row r="197" customFormat="false" ht="12.8" hidden="false" customHeight="false" outlineLevel="0" collapsed="false">
      <c r="A197" s="9" t="s">
        <v>91</v>
      </c>
      <c r="F197" s="3" t="s">
        <v>26</v>
      </c>
    </row>
    <row r="198" customFormat="false" ht="12.8" hidden="false" customHeight="false" outlineLevel="1" collapsed="false">
      <c r="A198" s="1" t="s">
        <v>56</v>
      </c>
      <c r="D198" s="2" t="n">
        <v>10</v>
      </c>
      <c r="E198" s="2" t="n">
        <v>1</v>
      </c>
      <c r="F198" s="3" t="s">
        <v>26</v>
      </c>
      <c r="Q198" s="7" t="n">
        <v>1</v>
      </c>
    </row>
    <row r="199" customFormat="false" ht="12.8" hidden="false" customHeight="false" outlineLevel="1" collapsed="false">
      <c r="A199" s="1" t="s">
        <v>58</v>
      </c>
      <c r="D199" s="2" t="n">
        <v>10</v>
      </c>
      <c r="E199" s="2" t="n">
        <v>0</v>
      </c>
      <c r="F199" s="3" t="s">
        <v>26</v>
      </c>
      <c r="Q199" s="7" t="n">
        <v>0</v>
      </c>
    </row>
    <row r="200" customFormat="false" ht="12.8" hidden="false" customHeight="false" outlineLevel="1" collapsed="false">
      <c r="A200" s="1" t="s">
        <v>79</v>
      </c>
      <c r="D200" s="22"/>
      <c r="E200" s="22" t="n">
        <v>23400</v>
      </c>
      <c r="F200" s="3" t="s">
        <v>26</v>
      </c>
      <c r="R200" s="29" t="n">
        <f aca="false">E200</f>
        <v>23400</v>
      </c>
    </row>
    <row r="201" customFormat="false" ht="12.8" hidden="false" customHeight="false" outlineLevel="1" collapsed="false">
      <c r="A201" s="1" t="s">
        <v>80</v>
      </c>
      <c r="D201" s="22"/>
      <c r="E201" s="22" t="n">
        <v>24000</v>
      </c>
      <c r="F201" s="3" t="s">
        <v>26</v>
      </c>
      <c r="R201" s="29" t="n">
        <f aca="false">E201</f>
        <v>24000</v>
      </c>
    </row>
    <row r="202" customFormat="false" ht="12.8" hidden="false" customHeight="false" outlineLevel="1" collapsed="false">
      <c r="A202" s="1" t="s">
        <v>60</v>
      </c>
      <c r="D202" s="22"/>
      <c r="E202" s="22" t="n">
        <v>12</v>
      </c>
      <c r="F202" s="3" t="s">
        <v>24</v>
      </c>
      <c r="M202" s="22" t="n">
        <f aca="false">E202</f>
        <v>12</v>
      </c>
      <c r="S202" s="7" t="n">
        <v>12</v>
      </c>
      <c r="T202" s="7" t="n">
        <f aca="false">E198</f>
        <v>1</v>
      </c>
      <c r="U202" s="7" t="n">
        <f aca="false">S202*T202</f>
        <v>12</v>
      </c>
    </row>
    <row r="203" customFormat="false" ht="12.8" hidden="false" customHeight="false" outlineLevel="1" collapsed="false">
      <c r="A203" s="1" t="s">
        <v>62</v>
      </c>
      <c r="D203" s="22"/>
      <c r="E203" s="22" t="n">
        <v>0</v>
      </c>
      <c r="F203" s="3" t="s">
        <v>24</v>
      </c>
      <c r="M203" s="22" t="n">
        <f aca="false">E203</f>
        <v>0</v>
      </c>
      <c r="S203" s="7" t="n">
        <v>19</v>
      </c>
      <c r="T203" s="7" t="n">
        <f aca="false">E199</f>
        <v>0</v>
      </c>
      <c r="U203" s="7" t="n">
        <f aca="false">S203*T203</f>
        <v>0</v>
      </c>
    </row>
    <row r="204" customFormat="false" ht="12.8" hidden="false" customHeight="false" outlineLevel="1" collapsed="false">
      <c r="A204" s="1" t="s">
        <v>81</v>
      </c>
      <c r="E204" s="2" t="n">
        <v>26</v>
      </c>
      <c r="F204" s="3" t="s">
        <v>26</v>
      </c>
      <c r="R204" s="29" t="n">
        <f aca="false">E204</f>
        <v>26</v>
      </c>
    </row>
    <row r="205" customFormat="false" ht="12.8" hidden="false" customHeight="false" outlineLevel="1" collapsed="false">
      <c r="A205" s="1" t="s">
        <v>82</v>
      </c>
      <c r="E205" s="2" t="n">
        <v>18</v>
      </c>
      <c r="F205" s="3" t="s">
        <v>26</v>
      </c>
      <c r="R205" s="29" t="n">
        <f aca="false">E205</f>
        <v>18</v>
      </c>
    </row>
    <row r="206" customFormat="false" ht="12.8" hidden="false" customHeight="false" outlineLevel="1" collapsed="false">
      <c r="A206" s="1" t="s">
        <v>83</v>
      </c>
      <c r="E206" s="2" t="n">
        <v>26</v>
      </c>
      <c r="F206" s="3" t="s">
        <v>26</v>
      </c>
      <c r="R206" s="29" t="n">
        <f aca="false">E206</f>
        <v>26</v>
      </c>
    </row>
    <row r="207" customFormat="false" ht="12.8" hidden="false" customHeight="false" outlineLevel="1" collapsed="false">
      <c r="A207" s="1" t="s">
        <v>84</v>
      </c>
      <c r="E207" s="2" t="n">
        <v>16</v>
      </c>
      <c r="F207" s="3" t="s">
        <v>26</v>
      </c>
      <c r="R207" s="29" t="n">
        <f aca="false">E207</f>
        <v>16</v>
      </c>
    </row>
    <row r="208" customFormat="false" ht="12.8" hidden="false" customHeight="false" outlineLevel="1" collapsed="false">
      <c r="F208" s="3" t="s">
        <v>22</v>
      </c>
    </row>
    <row r="209" customFormat="false" ht="12.8" hidden="false" customHeight="false" outlineLevel="0" collapsed="false">
      <c r="A209" s="9" t="s">
        <v>92</v>
      </c>
      <c r="F209" s="3" t="s">
        <v>26</v>
      </c>
    </row>
    <row r="210" customFormat="false" ht="12.8" hidden="false" customHeight="false" outlineLevel="1" collapsed="false">
      <c r="A210" s="1" t="s">
        <v>56</v>
      </c>
      <c r="D210" s="2" t="n">
        <v>10</v>
      </c>
      <c r="E210" s="2" t="n">
        <v>0</v>
      </c>
      <c r="F210" s="3" t="s">
        <v>26</v>
      </c>
      <c r="Q210" s="7" t="n">
        <v>0</v>
      </c>
    </row>
    <row r="211" customFormat="false" ht="12.8" hidden="false" customHeight="false" outlineLevel="1" collapsed="false">
      <c r="A211" s="1" t="s">
        <v>58</v>
      </c>
      <c r="D211" s="2" t="n">
        <v>10</v>
      </c>
      <c r="E211" s="2" t="n">
        <v>0</v>
      </c>
      <c r="F211" s="3" t="s">
        <v>26</v>
      </c>
      <c r="Q211" s="7" t="n">
        <v>0</v>
      </c>
    </row>
    <row r="212" customFormat="false" ht="12.8" hidden="false" customHeight="false" outlineLevel="1" collapsed="false">
      <c r="A212" s="1" t="s">
        <v>79</v>
      </c>
      <c r="D212" s="22"/>
      <c r="E212" s="22" t="n">
        <v>11000</v>
      </c>
      <c r="F212" s="3" t="s">
        <v>26</v>
      </c>
      <c r="R212" s="29" t="n">
        <f aca="false">E212</f>
        <v>11000</v>
      </c>
    </row>
    <row r="213" customFormat="false" ht="12.8" hidden="false" customHeight="false" outlineLevel="1" collapsed="false">
      <c r="A213" s="1" t="s">
        <v>80</v>
      </c>
      <c r="D213" s="22"/>
      <c r="E213" s="22" t="n">
        <v>17600</v>
      </c>
      <c r="F213" s="3" t="s">
        <v>26</v>
      </c>
      <c r="R213" s="29" t="n">
        <f aca="false">E213</f>
        <v>17600</v>
      </c>
    </row>
    <row r="214" customFormat="false" ht="12.8" hidden="false" customHeight="false" outlineLevel="1" collapsed="false">
      <c r="A214" s="1" t="s">
        <v>60</v>
      </c>
      <c r="D214" s="22"/>
      <c r="E214" s="22" t="n">
        <v>0</v>
      </c>
      <c r="F214" s="3" t="s">
        <v>24</v>
      </c>
      <c r="M214" s="22" t="n">
        <f aca="false">E214</f>
        <v>0</v>
      </c>
      <c r="S214" s="7" t="n">
        <v>12</v>
      </c>
      <c r="T214" s="7" t="n">
        <f aca="false">E210</f>
        <v>0</v>
      </c>
      <c r="U214" s="7" t="n">
        <f aca="false">S214*T214</f>
        <v>0</v>
      </c>
    </row>
    <row r="215" customFormat="false" ht="12.8" hidden="false" customHeight="false" outlineLevel="1" collapsed="false">
      <c r="A215" s="1" t="s">
        <v>62</v>
      </c>
      <c r="D215" s="22"/>
      <c r="E215" s="22" t="n">
        <v>0</v>
      </c>
      <c r="F215" s="3" t="s">
        <v>24</v>
      </c>
      <c r="M215" s="22" t="n">
        <f aca="false">E215</f>
        <v>0</v>
      </c>
      <c r="S215" s="7" t="n">
        <v>19</v>
      </c>
      <c r="T215" s="7" t="n">
        <f aca="false">E211</f>
        <v>0</v>
      </c>
      <c r="U215" s="7" t="n">
        <f aca="false">S215*T215</f>
        <v>0</v>
      </c>
    </row>
    <row r="216" customFormat="false" ht="12.8" hidden="false" customHeight="false" outlineLevel="1" collapsed="false">
      <c r="A216" s="1" t="s">
        <v>81</v>
      </c>
      <c r="E216" s="2" t="n">
        <v>12</v>
      </c>
      <c r="F216" s="3" t="s">
        <v>26</v>
      </c>
      <c r="R216" s="29" t="n">
        <f aca="false">E216</f>
        <v>12</v>
      </c>
    </row>
    <row r="217" customFormat="false" ht="12.8" hidden="false" customHeight="false" outlineLevel="1" collapsed="false">
      <c r="A217" s="1" t="s">
        <v>82</v>
      </c>
      <c r="E217" s="2" t="n">
        <v>13</v>
      </c>
      <c r="F217" s="3" t="s">
        <v>26</v>
      </c>
      <c r="R217" s="29" t="n">
        <f aca="false">E217</f>
        <v>13</v>
      </c>
    </row>
    <row r="218" customFormat="false" ht="12.8" hidden="false" customHeight="false" outlineLevel="1" collapsed="false">
      <c r="A218" s="1" t="s">
        <v>83</v>
      </c>
      <c r="E218" s="2" t="n">
        <v>11</v>
      </c>
      <c r="F218" s="3" t="s">
        <v>26</v>
      </c>
      <c r="R218" s="29" t="n">
        <f aca="false">E218</f>
        <v>11</v>
      </c>
    </row>
    <row r="219" customFormat="false" ht="12.8" hidden="false" customHeight="false" outlineLevel="1" collapsed="false">
      <c r="A219" s="1" t="s">
        <v>84</v>
      </c>
      <c r="E219" s="2" t="n">
        <v>11</v>
      </c>
      <c r="F219" s="3" t="s">
        <v>26</v>
      </c>
      <c r="R219" s="29" t="n">
        <f aca="false">E219</f>
        <v>11</v>
      </c>
    </row>
    <row r="220" customFormat="false" ht="12.8" hidden="false" customHeight="false" outlineLevel="1" collapsed="false">
      <c r="F220" s="3" t="s">
        <v>22</v>
      </c>
    </row>
    <row r="221" customFormat="false" ht="12.8" hidden="false" customHeight="false" outlineLevel="0" collapsed="false">
      <c r="A221" s="9" t="s">
        <v>93</v>
      </c>
      <c r="F221" s="3" t="s">
        <v>26</v>
      </c>
    </row>
    <row r="222" customFormat="false" ht="12.8" hidden="false" customHeight="false" outlineLevel="1" collapsed="false">
      <c r="A222" s="1" t="s">
        <v>56</v>
      </c>
      <c r="D222" s="2" t="n">
        <v>10</v>
      </c>
      <c r="E222" s="2" t="n">
        <v>0</v>
      </c>
      <c r="F222" s="3" t="s">
        <v>26</v>
      </c>
      <c r="Q222" s="7" t="n">
        <v>0</v>
      </c>
    </row>
    <row r="223" customFormat="false" ht="12.8" hidden="false" customHeight="false" outlineLevel="1" collapsed="false">
      <c r="A223" s="1" t="s">
        <v>58</v>
      </c>
      <c r="D223" s="2" t="n">
        <v>10</v>
      </c>
      <c r="E223" s="2" t="n">
        <v>0</v>
      </c>
      <c r="F223" s="3" t="s">
        <v>26</v>
      </c>
      <c r="Q223" s="7" t="n">
        <v>0</v>
      </c>
    </row>
    <row r="224" customFormat="false" ht="12.8" hidden="false" customHeight="false" outlineLevel="1" collapsed="false">
      <c r="A224" s="1" t="s">
        <v>79</v>
      </c>
      <c r="D224" s="22"/>
      <c r="E224" s="22" t="n">
        <v>10000</v>
      </c>
      <c r="F224" s="3" t="s">
        <v>26</v>
      </c>
      <c r="R224" s="29" t="n">
        <f aca="false">E224</f>
        <v>10000</v>
      </c>
    </row>
    <row r="225" customFormat="false" ht="12.8" hidden="false" customHeight="false" outlineLevel="1" collapsed="false">
      <c r="A225" s="1" t="s">
        <v>80</v>
      </c>
      <c r="D225" s="22"/>
      <c r="E225" s="22" t="n">
        <v>16000</v>
      </c>
      <c r="F225" s="3" t="s">
        <v>26</v>
      </c>
      <c r="R225" s="29" t="n">
        <f aca="false">E225</f>
        <v>16000</v>
      </c>
    </row>
    <row r="226" customFormat="false" ht="12.8" hidden="false" customHeight="false" outlineLevel="1" collapsed="false">
      <c r="A226" s="1" t="s">
        <v>60</v>
      </c>
      <c r="D226" s="22"/>
      <c r="E226" s="22" t="n">
        <v>0</v>
      </c>
      <c r="F226" s="3" t="s">
        <v>24</v>
      </c>
      <c r="M226" s="22" t="n">
        <f aca="false">E226</f>
        <v>0</v>
      </c>
      <c r="S226" s="7" t="n">
        <v>12</v>
      </c>
      <c r="T226" s="7" t="n">
        <f aca="false">E222</f>
        <v>0</v>
      </c>
      <c r="U226" s="7" t="n">
        <f aca="false">S226*T226</f>
        <v>0</v>
      </c>
    </row>
    <row r="227" customFormat="false" ht="12.8" hidden="false" customHeight="false" outlineLevel="1" collapsed="false">
      <c r="A227" s="1" t="s">
        <v>62</v>
      </c>
      <c r="D227" s="22"/>
      <c r="E227" s="22" t="n">
        <v>0</v>
      </c>
      <c r="F227" s="3" t="s">
        <v>24</v>
      </c>
      <c r="M227" s="22" t="n">
        <f aca="false">E227</f>
        <v>0</v>
      </c>
      <c r="S227" s="7" t="n">
        <v>19</v>
      </c>
      <c r="T227" s="7" t="n">
        <f aca="false">E223</f>
        <v>0</v>
      </c>
      <c r="U227" s="7" t="n">
        <f aca="false">S227*T227</f>
        <v>0</v>
      </c>
    </row>
    <row r="228" customFormat="false" ht="12.8" hidden="false" customHeight="false" outlineLevel="1" collapsed="false">
      <c r="A228" s="1" t="s">
        <v>81</v>
      </c>
      <c r="E228" s="2" t="n">
        <v>12</v>
      </c>
      <c r="F228" s="3" t="s">
        <v>26</v>
      </c>
      <c r="R228" s="7" t="n">
        <f aca="false">E228</f>
        <v>12</v>
      </c>
    </row>
    <row r="229" customFormat="false" ht="12.8" hidden="false" customHeight="false" outlineLevel="1" collapsed="false">
      <c r="A229" s="1" t="s">
        <v>82</v>
      </c>
      <c r="E229" s="2" t="n">
        <v>11</v>
      </c>
      <c r="F229" s="3" t="s">
        <v>26</v>
      </c>
      <c r="R229" s="7" t="n">
        <f aca="false">E229</f>
        <v>11</v>
      </c>
    </row>
    <row r="230" customFormat="false" ht="12.8" hidden="false" customHeight="false" outlineLevel="1" collapsed="false">
      <c r="A230" s="1" t="s">
        <v>83</v>
      </c>
      <c r="E230" s="2" t="n">
        <v>10</v>
      </c>
      <c r="F230" s="3" t="s">
        <v>26</v>
      </c>
      <c r="R230" s="7" t="n">
        <f aca="false">E230</f>
        <v>10</v>
      </c>
    </row>
    <row r="231" customFormat="false" ht="12.8" hidden="false" customHeight="false" outlineLevel="1" collapsed="false">
      <c r="A231" s="1" t="s">
        <v>84</v>
      </c>
      <c r="E231" s="2" t="n">
        <v>10</v>
      </c>
      <c r="F231" s="3" t="s">
        <v>26</v>
      </c>
      <c r="R231" s="7" t="n">
        <f aca="false">E231</f>
        <v>10</v>
      </c>
    </row>
    <row r="232" customFormat="false" ht="12.8" hidden="false" customHeight="false" outlineLevel="1" collapsed="false">
      <c r="F232" s="3" t="s">
        <v>22</v>
      </c>
    </row>
    <row r="233" customFormat="false" ht="12.8" hidden="false" customHeight="false" outlineLevel="0" collapsed="false">
      <c r="A233" s="30" t="s">
        <v>94</v>
      </c>
      <c r="B233" s="22"/>
      <c r="C233" s="22"/>
      <c r="D233" s="22"/>
      <c r="E233" s="22" t="n">
        <f aca="false">SUM(E15:E16,E116:E117,E128:E129,E140:E141,E152:E153,E164:E165,E176:E177,E188:E189,E200:E201,E212:E213,E224:E225)</f>
        <v>386600</v>
      </c>
      <c r="F233" s="31" t="s">
        <v>26</v>
      </c>
      <c r="G233" s="32" t="s">
        <v>13</v>
      </c>
      <c r="I233" s="22"/>
      <c r="J233" s="22"/>
      <c r="K233" s="22"/>
      <c r="L233" s="22"/>
      <c r="M233" s="22"/>
      <c r="R233" s="29" t="n">
        <f aca="false">E233</f>
        <v>386600</v>
      </c>
    </row>
    <row r="234" customFormat="false" ht="12.8" hidden="false" customHeight="false" outlineLevel="0" collapsed="false">
      <c r="A234" s="30" t="s">
        <v>95</v>
      </c>
      <c r="B234" s="22"/>
      <c r="C234" s="22"/>
      <c r="D234" s="22"/>
      <c r="E234" s="22" t="n">
        <f aca="false">SUM(E17:E22,E26,E30:E34,E50:E59,E71:E80,E90,E100,E110,E118:E119,E130:E131,E142:E143,E154:E155,E166:E167,E178:E179,E190:E191,E202:E203,E214:E215,E226:E227)</f>
        <v>262696</v>
      </c>
      <c r="F234" s="31"/>
      <c r="G234" s="32"/>
      <c r="I234" s="22"/>
      <c r="J234" s="22"/>
      <c r="K234" s="22"/>
      <c r="L234" s="22"/>
      <c r="M234" s="22"/>
    </row>
    <row r="235" customFormat="false" ht="12.8" hidden="false" customHeight="false" outlineLevel="0" collapsed="false">
      <c r="A235" s="30" t="s">
        <v>96</v>
      </c>
      <c r="B235" s="22"/>
      <c r="C235" s="22"/>
      <c r="D235" s="22"/>
      <c r="E235" s="22" t="n">
        <f aca="false">E233-E234</f>
        <v>123904</v>
      </c>
      <c r="F235" s="31"/>
      <c r="G235" s="32"/>
      <c r="I235" s="22"/>
      <c r="J235" s="22"/>
      <c r="K235" s="22"/>
      <c r="L235" s="22"/>
      <c r="M235" s="22"/>
    </row>
    <row r="236" customFormat="false" ht="12.8" hidden="false" customHeight="false" outlineLevel="0" collapsed="false">
      <c r="A236" s="33" t="s">
        <v>97</v>
      </c>
      <c r="B236" s="23"/>
      <c r="C236" s="23"/>
      <c r="D236" s="23"/>
      <c r="E236" s="23" t="n">
        <f aca="false">SUM(E23,E27,E35:E39,E60,E81,E91,E101,E111)</f>
        <v>202927.64</v>
      </c>
      <c r="F236" s="34" t="s">
        <v>26</v>
      </c>
      <c r="G236" s="35" t="s">
        <v>13</v>
      </c>
      <c r="I236" s="23"/>
      <c r="J236" s="23"/>
      <c r="K236" s="23"/>
      <c r="L236" s="23"/>
      <c r="M236" s="23"/>
    </row>
    <row r="237" customFormat="false" ht="12.8" hidden="false" customHeight="false" outlineLevel="0" collapsed="false">
      <c r="A237" s="36"/>
      <c r="B237" s="3"/>
      <c r="C237" s="3"/>
      <c r="D237" s="3"/>
      <c r="E237" s="3"/>
      <c r="G237" s="36"/>
      <c r="H237" s="37"/>
      <c r="I237" s="3"/>
      <c r="J237" s="3"/>
      <c r="K237" s="3"/>
      <c r="L237" s="3"/>
      <c r="M237" s="3"/>
      <c r="N237" s="38"/>
    </row>
    <row r="238" customFormat="false" ht="12.8" hidden="false" customHeight="false" outlineLevel="0" collapsed="false">
      <c r="G238" s="1" t="s">
        <v>98</v>
      </c>
      <c r="H238" s="4" t="n">
        <f aca="false">SUM(H5:H236)</f>
        <v>9075</v>
      </c>
      <c r="M238" s="4" t="n">
        <f aca="false">SUM(M5:M236)</f>
        <v>9485</v>
      </c>
    </row>
    <row r="239" customFormat="false" ht="12.8" hidden="false" customHeight="false" outlineLevel="0" collapsed="false">
      <c r="H239" s="7" t="n">
        <f aca="false">E234-H238</f>
        <v>253621</v>
      </c>
    </row>
    <row r="241" customFormat="false" ht="12.8" hidden="false" customHeight="false" outlineLevel="0" collapsed="false">
      <c r="H241" s="4" t="n">
        <v>258560</v>
      </c>
    </row>
  </sheetData>
  <autoFilter ref="D5:Z1048576"/>
  <mergeCells count="2">
    <mergeCell ref="S4:U4"/>
    <mergeCell ref="Y4:Z4"/>
  </mergeCells>
  <conditionalFormatting sqref="F1:G1048576 H1:H238 H240:H1048576 M238">
    <cfRule type="cellIs" priority="2" operator="equal" aboveAverage="0" equalAverage="0" bottom="0" percent="0" rank="0" text="" dxfId="7">
      <formula>"ok"</formula>
    </cfRule>
    <cfRule type="cellIs" priority="3" operator="equal" aboveAverage="0" equalAverage="0" bottom="0" percent="0" rank="0" text="" dxfId="8">
      <formula>"x"</formula>
    </cfRule>
    <cfRule type="cellIs" priority="4" operator="equal" aboveAverage="0" equalAverage="0" bottom="0" percent="0" rank="0" text="" dxfId="7">
      <formula>"-"</formula>
    </cfRule>
    <cfRule type="cellIs" priority="5" operator="equal" aboveAverage="0" equalAverage="0" bottom="0" percent="0" rank="0" text="" dxfId="9">
      <formula>"?"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2254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2025-03-13T21:37:42Z</dcterms:created>
  <dc:creator>kokwei fong</dc:creator>
  <dc:description/>
  <dc:language>en-SG</dc:language>
  <cp:lastModifiedBy>kokwei fong</cp:lastModifiedBy>
  <dcterms:modified xsi:type="dcterms:W3CDTF">2025-03-17T04:05:15Z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