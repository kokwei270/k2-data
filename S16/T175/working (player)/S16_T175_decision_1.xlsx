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fallot\Desktop\Tests_Kiwis2\"/>
    </mc:Choice>
  </mc:AlternateContent>
  <xr:revisionPtr revIDLastSave="0" documentId="13_ncr:1_{2EA972B1-5D98-457F-9F68-B99968A6940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ecision_template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28" i="1" l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N23" i="1"/>
  <c r="P23" i="1"/>
  <c r="O23" i="1"/>
</calcChain>
</file>

<file path=xl/sharedStrings.xml><?xml version="1.0" encoding="utf-8"?>
<sst xmlns="http://schemas.openxmlformats.org/spreadsheetml/2006/main" count="99" uniqueCount="65">
  <si>
    <t>c1</t>
  </si>
  <si>
    <t>lorry</t>
  </si>
  <si>
    <t>town</t>
  </si>
  <si>
    <t>nect_load</t>
  </si>
  <si>
    <t>cord_load</t>
  </si>
  <si>
    <t>nect_unload</t>
  </si>
  <si>
    <t>cord_unload</t>
  </si>
  <si>
    <t>c8</t>
  </si>
  <si>
    <t>c9</t>
  </si>
  <si>
    <t>activity</t>
  </si>
  <si>
    <t>qty</t>
  </si>
  <si>
    <t>remarks</t>
  </si>
  <si>
    <t>c13</t>
  </si>
  <si>
    <t>Team</t>
  </si>
  <si>
    <t>Remarks</t>
  </si>
  <si>
    <t>Period</t>
  </si>
  <si>
    <t>Distribution</t>
  </si>
  <si>
    <t>Production in Europe</t>
  </si>
  <si>
    <t>Lorry</t>
  </si>
  <si>
    <t>Town</t>
  </si>
  <si>
    <t>Loading</t>
  </si>
  <si>
    <t>Unloading</t>
  </si>
  <si>
    <t>Arnhem factory</t>
  </si>
  <si>
    <t>Nectar</t>
  </si>
  <si>
    <t>Cordial</t>
  </si>
  <si>
    <t>Lorry 1</t>
  </si>
  <si>
    <t>Nectar packaging</t>
  </si>
  <si>
    <t>x 30 pallets</t>
  </si>
  <si>
    <t>Lorry 2</t>
  </si>
  <si>
    <t>Vesoul factory</t>
  </si>
  <si>
    <t>Nectar production</t>
  </si>
  <si>
    <t>x 1 vat</t>
  </si>
  <si>
    <t>Lorry 3</t>
  </si>
  <si>
    <t>Paris</t>
  </si>
  <si>
    <t>Hiring</t>
  </si>
  <si>
    <t>x 1 person</t>
  </si>
  <si>
    <t>Laying-off</t>
  </si>
  <si>
    <t>Pack Purchasing</t>
  </si>
  <si>
    <t>x 1 batch</t>
  </si>
  <si>
    <t>Puree Purchasing</t>
  </si>
  <si>
    <t>x 1 bin</t>
  </si>
  <si>
    <t>Concentrate Purchasing for Arnhem</t>
  </si>
  <si>
    <t>Cordial packaging</t>
  </si>
  <si>
    <t>x 20 pallets</t>
  </si>
  <si>
    <t>Cordial production</t>
  </si>
  <si>
    <t>Bottle Purchasing</t>
  </si>
  <si>
    <t>Sugar Purchasing</t>
  </si>
  <si>
    <t>x 1 tonne</t>
  </si>
  <si>
    <t>Concentrate Purchasing for Vesoul</t>
  </si>
  <si>
    <t>CCFFCC</t>
  </si>
  <si>
    <t>Intercontinental transport</t>
  </si>
  <si>
    <t>Puree transport to Arnhem</t>
  </si>
  <si>
    <t>Concentrate transport to Arnhem</t>
  </si>
  <si>
    <t>Concentrate transport to Vesoul</t>
  </si>
  <si>
    <t>FFFF99</t>
  </si>
  <si>
    <t>Auckland factory</t>
  </si>
  <si>
    <t>Purchasing and pression of kiwis</t>
  </si>
  <si>
    <t>Puree sale</t>
  </si>
  <si>
    <t>Concentrate sale</t>
  </si>
  <si>
    <t>FF99CC</t>
  </si>
  <si>
    <t>CCFFFF</t>
  </si>
  <si>
    <t>Production in New-Zeland</t>
  </si>
  <si>
    <t>x (4 bins of puree  + 1 bin of concentrate)</t>
  </si>
  <si>
    <t>Bucharest</t>
  </si>
  <si>
    <t>Kemijarvi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</si>
</sst>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  <charset val="1"/>
    </font>
    <font>
      <sz val="10"/>
      <color rgb="FFCCCCCC"/>
      <name val="Arial"/>
      <family val="2"/>
      <charset val="1"/>
    </font>
    <font>
      <b/>
      <sz val="10"/>
      <name val="Arial"/>
      <family val="2"/>
      <charset val="1"/>
    </font>
    <font>
      <sz val="8"/>
      <name val="Arial"/>
      <family val="2"/>
      <charset val="1"/>
    </font>
    <font>
      <sz val="10"/>
      <color rgb="FFFF0000"/>
      <name val="Arial"/>
      <family val="2"/>
      <charset val="1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degree="270">
        <stop position="0">
          <color theme="0"/>
        </stop>
        <stop position="1">
          <color theme="5" tint="0.80001220740379042"/>
        </stop>
      </gradientFill>
    </fill>
    <fill>
      <gradientFill degree="270">
        <stop position="0">
          <color theme="0"/>
        </stop>
        <stop position="1">
          <color theme="4" tint="0.80001220740379042"/>
        </stop>
      </gradientFill>
    </fill>
    <fill>
      <patternFill patternType="solid">
        <fgColor theme="5" tint="0.79998168889431442"/>
        <bgColor auto="1"/>
      </patternFill>
    </fill>
    <fill>
      <patternFill patternType="solid">
        <fgColor rgb="FFFFFF99"/>
        <bgColor indexed="64"/>
      </patternFill>
    </fill>
    <fill>
      <patternFill patternType="solid">
        <fgColor rgb="FFFFE0FF"/>
        <bgColor indexed="64"/>
      </patternFill>
    </fill>
    <fill>
      <gradientFill degree="270">
        <stop position="0">
          <color theme="0"/>
        </stop>
        <stop position="1">
          <color rgb="FFFFE0FF"/>
        </stop>
      </gradientFill>
    </fill>
    <fill>
      <gradientFill degree="270">
        <stop position="0">
          <color theme="0"/>
        </stop>
        <stop position="1">
          <color rgb="FFFFFF99"/>
        </stop>
      </gradientFill>
    </fill>
  </fills>
  <borders count="5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0" tint="-4.9989318521683403E-2"/>
      </left>
      <right/>
      <top style="thick">
        <color theme="0" tint="-4.9989318521683403E-2"/>
      </top>
      <bottom style="thick">
        <color theme="1" tint="0.499984740745262"/>
      </bottom>
      <diagonal/>
    </border>
    <border>
      <left/>
      <right/>
      <top style="thick">
        <color theme="0" tint="-4.9989318521683403E-2"/>
      </top>
      <bottom style="thick">
        <color theme="1" tint="0.499984740745262"/>
      </bottom>
      <diagonal/>
    </border>
    <border>
      <left/>
      <right style="thick">
        <color theme="1" tint="0.499984740745262"/>
      </right>
      <top style="thick">
        <color theme="0" tint="-4.9989318521683403E-2"/>
      </top>
      <bottom style="thick">
        <color theme="1" tint="0.499984740745262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 style="medium">
        <color theme="3" tint="0.499984740745262"/>
      </bottom>
      <diagonal/>
    </border>
    <border>
      <left/>
      <right/>
      <top style="medium">
        <color theme="0" tint="-4.9989318521683403E-2"/>
      </top>
      <bottom style="medium">
        <color theme="3" tint="0.499984740745262"/>
      </bottom>
      <diagonal/>
    </border>
    <border>
      <left/>
      <right style="medium">
        <color theme="3" tint="0.499984740745262"/>
      </right>
      <top style="medium">
        <color theme="0" tint="-4.9989318521683403E-2"/>
      </top>
      <bottom style="medium">
        <color theme="3" tint="0.499984740745262"/>
      </bottom>
      <diagonal/>
    </border>
    <border>
      <left style="medium">
        <color theme="2" tint="-4.9989318521683403E-2"/>
      </left>
      <right/>
      <top style="medium">
        <color theme="2" tint="-4.9989318521683403E-2"/>
      </top>
      <bottom style="medium">
        <color theme="3" tint="0.499984740745262"/>
      </bottom>
      <diagonal/>
    </border>
    <border>
      <left/>
      <right/>
      <top style="medium">
        <color theme="2" tint="-4.9989318521683403E-2"/>
      </top>
      <bottom style="medium">
        <color theme="3" tint="0.499984740745262"/>
      </bottom>
      <diagonal/>
    </border>
    <border>
      <left/>
      <right style="medium">
        <color theme="3" tint="0.499984740745262"/>
      </right>
      <top style="medium">
        <color theme="2" tint="-4.9989318521683403E-2"/>
      </top>
      <bottom style="medium">
        <color theme="3" tint="0.499984740745262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theme="3" tint="0.499984740745262"/>
      </left>
      <right style="medium">
        <color theme="2" tint="-0.14996795556505021"/>
      </right>
      <top style="medium">
        <color theme="3"/>
      </top>
      <bottom style="thin">
        <color theme="2" tint="-0.24994659260841701"/>
      </bottom>
      <diagonal/>
    </border>
    <border>
      <left style="medium">
        <color theme="3" tint="0.499984740745262"/>
      </left>
      <right style="medium">
        <color theme="2" tint="-0.1499679555650502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theme="3" tint="0.499984740745262"/>
      </left>
      <right style="medium">
        <color theme="2" tint="-0.14996795556505021"/>
      </right>
      <top style="thin">
        <color theme="2" tint="-0.24994659260841701"/>
      </top>
      <bottom style="medium">
        <color theme="2" tint="-0.14996795556505021"/>
      </bottom>
      <diagonal/>
    </border>
    <border>
      <left style="thin">
        <color auto="1"/>
      </left>
      <right style="thin">
        <color theme="2" tint="-0.24994659260841701"/>
      </right>
      <top style="thin">
        <color auto="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auto="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auto="1"/>
      </right>
      <top style="thin">
        <color auto="1"/>
      </top>
      <bottom style="thin">
        <color theme="2" tint="-0.24994659260841701"/>
      </bottom>
      <diagonal/>
    </border>
    <border>
      <left style="thin">
        <color auto="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auto="1"/>
      </left>
      <right style="thin">
        <color theme="2" tint="-0.24994659260841701"/>
      </right>
      <top style="thin">
        <color theme="2" tint="-0.24994659260841701"/>
      </top>
      <bottom style="thin">
        <color auto="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auto="1"/>
      </right>
      <top style="thin">
        <color theme="2" tint="-0.24994659260841701"/>
      </top>
      <bottom/>
      <diagonal/>
    </border>
    <border>
      <left style="medium">
        <color theme="3" tint="0.499984740745262"/>
      </left>
      <right style="thin">
        <color theme="2" tint="-0.24994659260841701"/>
      </right>
      <top style="medium">
        <color theme="3" tint="0.499984740745262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theme="3" tint="0.499984740745262"/>
      </top>
      <bottom style="thin">
        <color theme="2" tint="-0.24994659260841701"/>
      </bottom>
      <diagonal/>
    </border>
    <border>
      <left style="medium">
        <color theme="3" tint="0.499984740745262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auto="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 style="thin">
        <color auto="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medium">
        <color theme="2" tint="-0.499984740745262"/>
      </left>
      <right style="thin">
        <color theme="2" tint="-0.24994659260841701"/>
      </right>
      <top style="medium">
        <color theme="2" tint="-0.499984740745262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theme="2" tint="-0.499984740745262"/>
      </top>
      <bottom style="thin">
        <color theme="2" tint="-0.24994659260841701"/>
      </bottom>
      <diagonal/>
    </border>
    <border>
      <left style="medium">
        <color theme="2" tint="-0.499984740745262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theme="2" tint="-0.499984740745262"/>
      </left>
      <right style="thin">
        <color theme="2" tint="-0.24994659260841701"/>
      </right>
      <top style="thin">
        <color theme="2" tint="-0.24994659260841701"/>
      </top>
      <bottom style="medium">
        <color theme="2" tint="-0.1499679555650502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theme="2" tint="-0.1499679555650502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theme="3" tint="0.499984740745262"/>
      </right>
      <top style="medium">
        <color theme="2" tint="-0.1499679555650502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theme="3" tint="0.499984740745262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theme="3" tint="0.499984740745262"/>
      </right>
      <top style="thin">
        <color theme="2" tint="-0.24994659260841701"/>
      </top>
      <bottom style="thin">
        <color auto="1"/>
      </bottom>
      <diagonal/>
    </border>
    <border>
      <left style="thin">
        <color theme="2" tint="-0.24994659260841701"/>
      </left>
      <right style="medium">
        <color theme="2" tint="-4.9989318521683403E-2"/>
      </right>
      <top style="medium">
        <color theme="3" tint="0.499984740745262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theme="2" tint="-4.9989318521683403E-2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theme="3" tint="0.499984740745262"/>
      </left>
      <right style="thin">
        <color theme="2" tint="-0.24994659260841701"/>
      </right>
      <top style="thin">
        <color theme="2" tint="-0.24994659260841701"/>
      </top>
      <bottom style="medium">
        <color theme="2" tint="-4.9989318521683403E-2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theme="2" tint="-4.9989318521683403E-2"/>
      </bottom>
      <diagonal/>
    </border>
    <border>
      <left style="thin">
        <color theme="2" tint="-0.24994659260841701"/>
      </left>
      <right style="medium">
        <color theme="2" tint="-4.9989318521683403E-2"/>
      </right>
      <top style="thin">
        <color theme="2" tint="-0.24994659260841701"/>
      </top>
      <bottom style="medium">
        <color theme="2" tint="-4.9989318521683403E-2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2" borderId="4" xfId="0" applyFill="1" applyBorder="1"/>
    <xf numFmtId="0" fontId="2" fillId="3" borderId="4" xfId="0" applyFont="1" applyFill="1" applyBorder="1"/>
    <xf numFmtId="0" fontId="0" fillId="2" borderId="4" xfId="0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2" fillId="8" borderId="3" xfId="0" applyFont="1" applyFill="1" applyBorder="1" applyAlignment="1">
      <alignment horizontal="left"/>
    </xf>
    <xf numFmtId="0" fontId="0" fillId="9" borderId="7" xfId="0" applyFill="1" applyBorder="1" applyAlignment="1">
      <alignment vertical="center"/>
    </xf>
    <xf numFmtId="0" fontId="0" fillId="9" borderId="8" xfId="0" applyFill="1" applyBorder="1"/>
    <xf numFmtId="0" fontId="0" fillId="9" borderId="9" xfId="0" applyFill="1" applyBorder="1"/>
    <xf numFmtId="0" fontId="0" fillId="10" borderId="7" xfId="0" applyFill="1" applyBorder="1"/>
    <xf numFmtId="0" fontId="0" fillId="10" borderId="8" xfId="0" applyFill="1" applyBorder="1"/>
    <xf numFmtId="0" fontId="0" fillId="10" borderId="9" xfId="0" applyFill="1" applyBorder="1"/>
    <xf numFmtId="0" fontId="6" fillId="3" borderId="10" xfId="0" applyFont="1" applyFill="1" applyBorder="1" applyAlignment="1">
      <alignment horizontal="centerContinuous"/>
    </xf>
    <xf numFmtId="0" fontId="2" fillId="3" borderId="11" xfId="0" applyFont="1" applyFill="1" applyBorder="1" applyAlignment="1">
      <alignment horizontal="centerContinuous"/>
    </xf>
    <xf numFmtId="0" fontId="2" fillId="3" borderId="12" xfId="0" applyFont="1" applyFill="1" applyBorder="1" applyAlignment="1">
      <alignment horizontal="centerContinuous"/>
    </xf>
    <xf numFmtId="0" fontId="5" fillId="6" borderId="14" xfId="0" applyFont="1" applyFill="1" applyBorder="1" applyAlignment="1">
      <alignment horizontal="centerContinuous"/>
    </xf>
    <xf numFmtId="0" fontId="5" fillId="6" borderId="15" xfId="0" applyFont="1" applyFill="1" applyBorder="1" applyAlignment="1">
      <alignment horizontal="centerContinuous"/>
    </xf>
    <xf numFmtId="0" fontId="7" fillId="6" borderId="14" xfId="0" applyFont="1" applyFill="1" applyBorder="1" applyAlignment="1">
      <alignment horizontal="centerContinuous"/>
    </xf>
    <xf numFmtId="0" fontId="7" fillId="6" borderId="13" xfId="0" applyFont="1" applyFill="1" applyBorder="1" applyAlignment="1">
      <alignment horizontal="centerContinuous"/>
    </xf>
    <xf numFmtId="0" fontId="6" fillId="7" borderId="16" xfId="0" applyFont="1" applyFill="1" applyBorder="1" applyAlignment="1">
      <alignment horizontal="centerContinuous"/>
    </xf>
    <xf numFmtId="0" fontId="2" fillId="7" borderId="17" xfId="0" applyFont="1" applyFill="1" applyBorder="1" applyAlignment="1">
      <alignment horizontal="centerContinuous"/>
    </xf>
    <xf numFmtId="0" fontId="2" fillId="7" borderId="18" xfId="0" applyFont="1" applyFill="1" applyBorder="1" applyAlignment="1">
      <alignment horizontal="centerContinuous"/>
    </xf>
    <xf numFmtId="0" fontId="6" fillId="8" borderId="16" xfId="0" applyFont="1" applyFill="1" applyBorder="1" applyAlignment="1">
      <alignment horizontal="centerContinuous"/>
    </xf>
    <xf numFmtId="0" fontId="2" fillId="8" borderId="17" xfId="0" applyFont="1" applyFill="1" applyBorder="1" applyAlignment="1">
      <alignment horizontal="centerContinuous"/>
    </xf>
    <xf numFmtId="0" fontId="2" fillId="8" borderId="18" xfId="0" applyFont="1" applyFill="1" applyBorder="1" applyAlignment="1">
      <alignment horizontal="centerContinuous"/>
    </xf>
    <xf numFmtId="0" fontId="0" fillId="5" borderId="1" xfId="0" applyFill="1" applyBorder="1"/>
    <xf numFmtId="0" fontId="0" fillId="5" borderId="19" xfId="0" applyFill="1" applyBorder="1"/>
    <xf numFmtId="0" fontId="0" fillId="5" borderId="5" xfId="0" applyFill="1" applyBorder="1"/>
    <xf numFmtId="0" fontId="0" fillId="5" borderId="2" xfId="0" applyFill="1" applyBorder="1"/>
    <xf numFmtId="0" fontId="0" fillId="5" borderId="20" xfId="0" applyFill="1" applyBorder="1"/>
    <xf numFmtId="0" fontId="0" fillId="5" borderId="6" xfId="0" applyFill="1" applyBorder="1"/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4" borderId="24" xfId="0" applyFill="1" applyBorder="1"/>
    <xf numFmtId="0" fontId="0" fillId="4" borderId="25" xfId="0" applyFill="1" applyBorder="1"/>
    <xf numFmtId="0" fontId="0" fillId="4" borderId="26" xfId="0" applyFill="1" applyBorder="1"/>
    <xf numFmtId="0" fontId="0" fillId="4" borderId="27" xfId="0" applyFill="1" applyBorder="1"/>
    <xf numFmtId="0" fontId="0" fillId="4" borderId="28" xfId="0" applyFill="1" applyBorder="1"/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0" fontId="0" fillId="4" borderId="29" xfId="0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4" borderId="36" xfId="0" applyFill="1" applyBorder="1"/>
    <xf numFmtId="0" fontId="0" fillId="4" borderId="37" xfId="0" applyFill="1" applyBorder="1"/>
    <xf numFmtId="0" fontId="0" fillId="4" borderId="38" xfId="0" applyFill="1" applyBorder="1"/>
    <xf numFmtId="0" fontId="0" fillId="2" borderId="39" xfId="0" applyFill="1" applyBorder="1"/>
    <xf numFmtId="0" fontId="0" fillId="2" borderId="40" xfId="0" applyFill="1" applyBorder="1"/>
    <xf numFmtId="0" fontId="0" fillId="2" borderId="41" xfId="0" applyFill="1" applyBorder="1"/>
    <xf numFmtId="0" fontId="0" fillId="2" borderId="42" xfId="0" applyFill="1" applyBorder="1"/>
    <xf numFmtId="0" fontId="0" fillId="2" borderId="43" xfId="0" applyFill="1" applyBorder="1"/>
    <xf numFmtId="0" fontId="0" fillId="2" borderId="44" xfId="0" applyFill="1" applyBorder="1" applyAlignment="1">
      <alignment horizontal="center"/>
    </xf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0" fillId="2" borderId="48" xfId="0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0" fillId="2" borderId="52" xfId="0" applyFill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theme="9" tint="0.79998168889431442"/>
        </patternFill>
      </fill>
    </dxf>
    <dxf>
      <fill>
        <patternFill patternType="lightUp">
          <fgColor rgb="FFFF0000"/>
          <bgColor auto="1"/>
        </patternFill>
      </fill>
    </dxf>
    <dxf>
      <fill>
        <patternFill patternType="lightUp">
          <f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E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1"/>
  <sheetViews>
    <sheetView showGridLines="0" tabSelected="1" zoomScaleNormal="100" workbookViewId="0">
      <selection activeCell="K21" sqref="K21"/>
    </sheetView>
  </sheetViews>
  <sheetFormatPr baseColWidth="10" defaultColWidth="11.5703125" defaultRowHeight="12.75" x14ac:dyDescent="0.2"/>
  <cols>
    <col min="1" max="1" width="3.42578125" style="1" customWidth="1"/>
    <col min="2" max="2" width="10.5703125" customWidth="1"/>
    <col min="3" max="3" width="14" customWidth="1"/>
    <col min="4" max="5" width="9" customWidth="1"/>
    <col min="6" max="7" width="10.85546875" customWidth="1"/>
    <col min="8" max="8" width="21.5703125" bestFit="1" customWidth="1"/>
    <col min="9" max="9" width="3.85546875" style="1" customWidth="1"/>
    <col min="10" max="10" width="30.42578125" customWidth="1"/>
    <col min="11" max="11" width="4" style="4" customWidth="1"/>
    <col min="12" max="12" width="35.5703125" bestFit="1" customWidth="1"/>
    <col min="13" max="13" width="4" customWidth="1"/>
  </cols>
  <sheetData>
    <row r="1" spans="1:13" x14ac:dyDescent="0.2">
      <c r="A1" s="1" t="s">
        <v>0</v>
      </c>
      <c r="B1" t="s">
        <v>1</v>
      </c>
      <c r="C1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t="s">
        <v>7</v>
      </c>
      <c r="I1" t="s">
        <v>8</v>
      </c>
      <c r="J1" s="7" t="s">
        <v>9</v>
      </c>
      <c r="K1" s="10" t="s">
        <v>10</v>
      </c>
      <c r="L1" s="7" t="s">
        <v>11</v>
      </c>
      <c r="M1" t="s">
        <v>12</v>
      </c>
    </row>
    <row r="2" spans="1:13" x14ac:dyDescent="0.2">
      <c r="D2" s="7"/>
      <c r="E2" s="7"/>
      <c r="F2" s="7"/>
      <c r="G2" s="7"/>
      <c r="I2"/>
      <c r="J2" s="7"/>
      <c r="K2" s="10"/>
      <c r="L2" s="7"/>
    </row>
    <row r="3" spans="1:13" x14ac:dyDescent="0.2">
      <c r="B3" t="s">
        <v>13</v>
      </c>
      <c r="C3" s="7"/>
      <c r="E3" t="s">
        <v>14</v>
      </c>
      <c r="I3"/>
    </row>
    <row r="4" spans="1:13" x14ac:dyDescent="0.2">
      <c r="B4" t="s">
        <v>15</v>
      </c>
      <c r="C4" s="9"/>
      <c r="I4"/>
    </row>
    <row r="6" spans="1:13" ht="13.5" thickBot="1" x14ac:dyDescent="0.25"/>
    <row r="7" spans="1:13" ht="16.5" thickTop="1" thickBot="1" x14ac:dyDescent="0.3">
      <c r="B7" s="27" t="s">
        <v>16</v>
      </c>
      <c r="C7" s="24"/>
      <c r="D7" s="26"/>
      <c r="E7" s="24"/>
      <c r="F7" s="24"/>
      <c r="G7" s="25"/>
      <c r="J7" s="21" t="s">
        <v>17</v>
      </c>
      <c r="K7" s="22"/>
      <c r="L7" s="23"/>
    </row>
    <row r="8" spans="1:13" x14ac:dyDescent="0.2">
      <c r="B8" s="2"/>
      <c r="J8" s="2"/>
    </row>
    <row r="9" spans="1:13" x14ac:dyDescent="0.2">
      <c r="B9" s="43" t="s">
        <v>18</v>
      </c>
      <c r="C9" s="44" t="s">
        <v>19</v>
      </c>
      <c r="D9" s="44" t="s">
        <v>20</v>
      </c>
      <c r="E9" s="44"/>
      <c r="F9" s="44" t="s">
        <v>21</v>
      </c>
      <c r="G9" s="45"/>
      <c r="J9" s="8" t="s">
        <v>22</v>
      </c>
    </row>
    <row r="10" spans="1:13" ht="13.5" thickBot="1" x14ac:dyDescent="0.25">
      <c r="B10" s="46"/>
      <c r="C10" s="47"/>
      <c r="D10" s="52" t="s">
        <v>23</v>
      </c>
      <c r="E10" s="52" t="s">
        <v>24</v>
      </c>
      <c r="F10" s="52" t="s">
        <v>23</v>
      </c>
      <c r="G10" s="53" t="s">
        <v>24</v>
      </c>
    </row>
    <row r="11" spans="1:13" x14ac:dyDescent="0.2">
      <c r="A11" s="1">
        <v>1</v>
      </c>
      <c r="B11" s="46" t="s">
        <v>25</v>
      </c>
      <c r="C11" s="51" t="s">
        <v>22</v>
      </c>
      <c r="D11" s="54">
        <v>20</v>
      </c>
      <c r="E11" s="55"/>
      <c r="F11" s="55"/>
      <c r="G11" s="69"/>
      <c r="H11" s="3" t="str">
        <f t="shared" ref="H11:H70" si="0">IF(AND(B11="",OR(C11&lt;&gt;"",D11&lt;&gt;"",E11&lt;&gt;"",F11&lt;&gt;"",G11&lt;&gt;"")),"A lorry must be selected",IF(AND(C11="",OR(D11&lt;&gt;"",E11&lt;&gt;"",F11&lt;&gt;"",G11&lt;&gt;"")),"A town must be selected",""))</f>
        <v/>
      </c>
      <c r="I11" s="1">
        <v>1</v>
      </c>
      <c r="J11" s="34" t="s">
        <v>26</v>
      </c>
      <c r="K11" s="40">
        <v>7</v>
      </c>
      <c r="L11" s="37" t="s">
        <v>27</v>
      </c>
    </row>
    <row r="12" spans="1:13" x14ac:dyDescent="0.2">
      <c r="A12" s="1">
        <v>2</v>
      </c>
      <c r="B12" s="46" t="s">
        <v>28</v>
      </c>
      <c r="C12" s="51" t="s">
        <v>29</v>
      </c>
      <c r="D12" s="56"/>
      <c r="E12" s="48">
        <v>50</v>
      </c>
      <c r="F12" s="48"/>
      <c r="G12" s="70"/>
      <c r="H12" s="3" t="str">
        <f t="shared" si="0"/>
        <v/>
      </c>
      <c r="I12" s="1">
        <v>2</v>
      </c>
      <c r="J12" s="35" t="s">
        <v>30</v>
      </c>
      <c r="K12" s="41">
        <v>7</v>
      </c>
      <c r="L12" s="38" t="s">
        <v>31</v>
      </c>
    </row>
    <row r="13" spans="1:13" ht="13.5" thickBot="1" x14ac:dyDescent="0.25">
      <c r="A13" s="1">
        <v>3</v>
      </c>
      <c r="B13" s="57" t="s">
        <v>32</v>
      </c>
      <c r="C13" s="58" t="s">
        <v>33</v>
      </c>
      <c r="D13" s="56">
        <v>10</v>
      </c>
      <c r="E13" s="48"/>
      <c r="F13" s="48"/>
      <c r="G13" s="70"/>
      <c r="H13" s="3" t="str">
        <f t="shared" si="0"/>
        <v/>
      </c>
      <c r="I13" s="1">
        <v>3</v>
      </c>
      <c r="J13" s="35" t="s">
        <v>34</v>
      </c>
      <c r="K13" s="41"/>
      <c r="L13" s="38" t="s">
        <v>35</v>
      </c>
    </row>
    <row r="14" spans="1:13" x14ac:dyDescent="0.2">
      <c r="A14" s="1">
        <v>4</v>
      </c>
      <c r="B14" s="60"/>
      <c r="C14" s="61"/>
      <c r="D14" s="48"/>
      <c r="E14" s="48"/>
      <c r="F14" s="48"/>
      <c r="G14" s="70"/>
      <c r="H14" s="3" t="str">
        <f t="shared" si="0"/>
        <v/>
      </c>
      <c r="I14" s="1">
        <v>4</v>
      </c>
      <c r="J14" s="35" t="s">
        <v>36</v>
      </c>
      <c r="K14" s="41"/>
      <c r="L14" s="38" t="s">
        <v>35</v>
      </c>
    </row>
    <row r="15" spans="1:13" x14ac:dyDescent="0.2">
      <c r="A15" s="1">
        <v>5</v>
      </c>
      <c r="B15" s="62" t="s">
        <v>25</v>
      </c>
      <c r="C15" s="49" t="s">
        <v>33</v>
      </c>
      <c r="D15" s="48"/>
      <c r="E15" s="48"/>
      <c r="F15" s="48">
        <v>15</v>
      </c>
      <c r="G15" s="70"/>
      <c r="H15" s="3" t="str">
        <f t="shared" si="0"/>
        <v/>
      </c>
      <c r="I15" s="1">
        <v>5</v>
      </c>
      <c r="J15" s="35" t="s">
        <v>37</v>
      </c>
      <c r="K15" s="41">
        <v>7</v>
      </c>
      <c r="L15" s="38" t="s">
        <v>38</v>
      </c>
    </row>
    <row r="16" spans="1:13" x14ac:dyDescent="0.2">
      <c r="A16" s="1">
        <v>6</v>
      </c>
      <c r="B16" s="62"/>
      <c r="C16" s="49"/>
      <c r="D16" s="48"/>
      <c r="E16" s="48"/>
      <c r="F16" s="48"/>
      <c r="G16" s="70"/>
      <c r="H16" s="3" t="str">
        <f t="shared" si="0"/>
        <v/>
      </c>
      <c r="I16" s="1">
        <v>6</v>
      </c>
      <c r="J16" s="35" t="s">
        <v>39</v>
      </c>
      <c r="K16" s="41"/>
      <c r="L16" s="38" t="s">
        <v>40</v>
      </c>
    </row>
    <row r="17" spans="1:16" ht="13.5" thickBot="1" x14ac:dyDescent="0.25">
      <c r="A17" s="1">
        <v>7</v>
      </c>
      <c r="B17" s="62" t="s">
        <v>25</v>
      </c>
      <c r="C17" s="49" t="s">
        <v>63</v>
      </c>
      <c r="D17" s="48"/>
      <c r="E17" s="48"/>
      <c r="F17" s="48">
        <v>5</v>
      </c>
      <c r="G17" s="70"/>
      <c r="H17" s="3" t="str">
        <f t="shared" si="0"/>
        <v/>
      </c>
      <c r="I17" s="1">
        <v>7</v>
      </c>
      <c r="J17" s="36" t="s">
        <v>41</v>
      </c>
      <c r="K17" s="42"/>
      <c r="L17" s="39" t="s">
        <v>40</v>
      </c>
    </row>
    <row r="18" spans="1:16" x14ac:dyDescent="0.2">
      <c r="A18" s="1">
        <v>8</v>
      </c>
      <c r="B18" s="62"/>
      <c r="C18" s="49"/>
      <c r="D18" s="48"/>
      <c r="E18" s="48"/>
      <c r="F18" s="48"/>
      <c r="G18" s="70"/>
      <c r="H18" s="3" t="str">
        <f t="shared" si="0"/>
        <v/>
      </c>
    </row>
    <row r="19" spans="1:16" x14ac:dyDescent="0.2">
      <c r="A19" s="1">
        <v>9</v>
      </c>
      <c r="B19" s="62"/>
      <c r="C19" s="49"/>
      <c r="D19" s="48"/>
      <c r="E19" s="48"/>
      <c r="F19" s="48"/>
      <c r="G19" s="70"/>
      <c r="H19" s="3" t="str">
        <f t="shared" si="0"/>
        <v/>
      </c>
      <c r="J19" s="8" t="s">
        <v>29</v>
      </c>
    </row>
    <row r="20" spans="1:16" ht="13.5" thickBot="1" x14ac:dyDescent="0.25">
      <c r="A20" s="1">
        <v>10</v>
      </c>
      <c r="B20" s="62" t="s">
        <v>28</v>
      </c>
      <c r="C20" s="49" t="s">
        <v>63</v>
      </c>
      <c r="D20" s="48"/>
      <c r="E20" s="48"/>
      <c r="F20" s="48"/>
      <c r="G20" s="70">
        <v>50</v>
      </c>
      <c r="H20" s="3" t="str">
        <f t="shared" si="0"/>
        <v/>
      </c>
    </row>
    <row r="21" spans="1:16" x14ac:dyDescent="0.2">
      <c r="A21" s="1">
        <v>11</v>
      </c>
      <c r="B21" s="62"/>
      <c r="C21" s="49"/>
      <c r="D21" s="48"/>
      <c r="E21" s="48"/>
      <c r="F21" s="48"/>
      <c r="G21" s="70"/>
      <c r="H21" s="3" t="str">
        <f t="shared" si="0"/>
        <v/>
      </c>
      <c r="I21" s="1">
        <v>1</v>
      </c>
      <c r="J21" s="11" t="s">
        <v>42</v>
      </c>
      <c r="K21" s="40"/>
      <c r="L21" s="11" t="s">
        <v>43</v>
      </c>
    </row>
    <row r="22" spans="1:16" x14ac:dyDescent="0.2">
      <c r="A22" s="1">
        <v>12</v>
      </c>
      <c r="B22" s="62" t="s">
        <v>32</v>
      </c>
      <c r="C22" s="49" t="s">
        <v>64</v>
      </c>
      <c r="D22" s="48"/>
      <c r="E22" s="48"/>
      <c r="F22" s="48">
        <v>10</v>
      </c>
      <c r="G22" s="70"/>
      <c r="H22" s="3" t="str">
        <f t="shared" si="0"/>
        <v/>
      </c>
      <c r="I22" s="1">
        <v>2</v>
      </c>
      <c r="J22" s="12" t="s">
        <v>44</v>
      </c>
      <c r="K22" s="41"/>
      <c r="L22" s="12" t="s">
        <v>31</v>
      </c>
    </row>
    <row r="23" spans="1:16" x14ac:dyDescent="0.2">
      <c r="A23" s="1">
        <v>13</v>
      </c>
      <c r="B23" s="62"/>
      <c r="C23" s="49"/>
      <c r="D23" s="48"/>
      <c r="E23" s="48"/>
      <c r="F23" s="48"/>
      <c r="G23" s="70"/>
      <c r="H23" s="3" t="str">
        <f t="shared" si="0"/>
        <v/>
      </c>
      <c r="I23" s="1">
        <v>3</v>
      </c>
      <c r="J23" s="12" t="s">
        <v>34</v>
      </c>
      <c r="K23" s="41"/>
      <c r="L23" s="12" t="s">
        <v>35</v>
      </c>
      <c r="N23" t="str">
        <f>IF(AND(B23="",OR(C23&lt;&gt;"",D23&lt;&gt;"",E23&lt;&gt;"",F23&lt;&gt;"",G23&lt;&gt;"")),"A lorry must be selected",IF(AND(C23="",OR(D23&lt;&gt;"",E23&lt;&gt;"",F23&lt;&gt;"",G23&lt;&gt;"")),"A town must be selected",""))</f>
        <v/>
      </c>
      <c r="O23" t="str">
        <f>IF(AND(B23="",OR(C23&lt;&gt;"",D23&lt;&gt;"",E23&lt;&gt;"",F23&lt;&gt;"",G23&lt;&gt;"")),"A lorry must be selected","")</f>
        <v/>
      </c>
      <c r="P23" t="str">
        <f>IF(AND(C23&lt;&gt;"",OR(D23&lt;&gt;"",E23&lt;&gt;"",F23&lt;&gt;"",G23&lt;&gt;"")),"A town must be selected","")</f>
        <v/>
      </c>
    </row>
    <row r="24" spans="1:16" x14ac:dyDescent="0.2">
      <c r="A24" s="1">
        <v>14</v>
      </c>
      <c r="B24" s="62"/>
      <c r="C24" s="49"/>
      <c r="D24" s="48"/>
      <c r="E24" s="48"/>
      <c r="F24" s="48"/>
      <c r="G24" s="70"/>
      <c r="H24" s="3" t="str">
        <f t="shared" si="0"/>
        <v/>
      </c>
      <c r="I24" s="1">
        <v>4</v>
      </c>
      <c r="J24" s="12" t="s">
        <v>36</v>
      </c>
      <c r="K24" s="41"/>
      <c r="L24" s="12" t="s">
        <v>35</v>
      </c>
    </row>
    <row r="25" spans="1:16" x14ac:dyDescent="0.2">
      <c r="A25" s="1">
        <v>15</v>
      </c>
      <c r="B25" s="62"/>
      <c r="C25" s="49"/>
      <c r="D25" s="48"/>
      <c r="E25" s="48"/>
      <c r="F25" s="48"/>
      <c r="G25" s="70"/>
      <c r="H25" s="3" t="str">
        <f t="shared" si="0"/>
        <v/>
      </c>
      <c r="I25" s="1">
        <v>5</v>
      </c>
      <c r="J25" s="12" t="s">
        <v>45</v>
      </c>
      <c r="K25" s="41"/>
      <c r="L25" s="12" t="s">
        <v>38</v>
      </c>
    </row>
    <row r="26" spans="1:16" x14ac:dyDescent="0.2">
      <c r="A26" s="1">
        <v>16</v>
      </c>
      <c r="B26" s="62"/>
      <c r="C26" s="49"/>
      <c r="D26" s="48"/>
      <c r="E26" s="48"/>
      <c r="F26" s="48"/>
      <c r="G26" s="70"/>
      <c r="H26" s="3" t="str">
        <f t="shared" si="0"/>
        <v/>
      </c>
      <c r="I26" s="1">
        <v>6</v>
      </c>
      <c r="J26" s="12" t="s">
        <v>46</v>
      </c>
      <c r="K26" s="41"/>
      <c r="L26" s="12" t="s">
        <v>47</v>
      </c>
    </row>
    <row r="27" spans="1:16" ht="13.5" thickBot="1" x14ac:dyDescent="0.25">
      <c r="A27" s="1">
        <v>17</v>
      </c>
      <c r="B27" s="62"/>
      <c r="C27" s="49"/>
      <c r="D27" s="48"/>
      <c r="E27" s="48"/>
      <c r="F27" s="48"/>
      <c r="G27" s="70"/>
      <c r="H27" s="3" t="str">
        <f>IF(AND(B27="",OR(C27&lt;&gt;"",D27&lt;&gt;"",E27&lt;&gt;"",F27&lt;&gt;"",G27&lt;&gt;"")),"A lorry must be selected",IF(AND(C27="",OR(D27&lt;&gt;"",E27&lt;&gt;"",F27&lt;&gt;"",G27&lt;&gt;"")),"A town must be selected",""))</f>
        <v/>
      </c>
      <c r="I27" s="1">
        <v>7</v>
      </c>
      <c r="J27" s="13" t="s">
        <v>48</v>
      </c>
      <c r="K27" s="42"/>
      <c r="L27" s="13" t="s">
        <v>40</v>
      </c>
    </row>
    <row r="28" spans="1:16" x14ac:dyDescent="0.2">
      <c r="A28" s="1">
        <v>18</v>
      </c>
      <c r="B28" s="62"/>
      <c r="C28" s="49"/>
      <c r="D28" s="48"/>
      <c r="E28" s="48"/>
      <c r="F28" s="48"/>
      <c r="G28" s="70"/>
      <c r="H28" s="3" t="str">
        <f t="shared" ref="H28:H40" si="1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49</v>
      </c>
    </row>
    <row r="29" spans="1:16" ht="13.5" thickBot="1" x14ac:dyDescent="0.25">
      <c r="A29" s="1">
        <v>19</v>
      </c>
      <c r="B29" s="62"/>
      <c r="C29" s="49"/>
      <c r="D29" s="48"/>
      <c r="E29" s="48"/>
      <c r="F29" s="48"/>
      <c r="G29" s="70"/>
      <c r="H29" s="3" t="str">
        <f t="shared" si="1"/>
        <v/>
      </c>
    </row>
    <row r="30" spans="1:16" ht="15.75" thickBot="1" x14ac:dyDescent="0.3">
      <c r="A30" s="1">
        <v>20</v>
      </c>
      <c r="B30" s="62"/>
      <c r="C30" s="49"/>
      <c r="D30" s="48"/>
      <c r="E30" s="48"/>
      <c r="F30" s="48"/>
      <c r="G30" s="70"/>
      <c r="H30" s="3" t="str">
        <f t="shared" si="1"/>
        <v/>
      </c>
      <c r="J30" s="28" t="s">
        <v>50</v>
      </c>
      <c r="K30" s="29"/>
      <c r="L30" s="30"/>
    </row>
    <row r="31" spans="1:16" ht="13.5" thickBot="1" x14ac:dyDescent="0.25">
      <c r="A31" s="1">
        <v>21</v>
      </c>
      <c r="B31" s="62"/>
      <c r="C31" s="49"/>
      <c r="D31" s="48"/>
      <c r="E31" s="48"/>
      <c r="F31" s="48"/>
      <c r="G31" s="70"/>
      <c r="H31" s="3" t="str">
        <f t="shared" si="1"/>
        <v/>
      </c>
    </row>
    <row r="32" spans="1:16" x14ac:dyDescent="0.2">
      <c r="A32" s="1">
        <v>22</v>
      </c>
      <c r="B32" s="62"/>
      <c r="C32" s="49"/>
      <c r="D32" s="48"/>
      <c r="E32" s="48"/>
      <c r="F32" s="48"/>
      <c r="G32" s="70"/>
      <c r="H32" s="3" t="str">
        <f t="shared" si="1"/>
        <v/>
      </c>
      <c r="I32" s="1">
        <v>1</v>
      </c>
      <c r="J32" s="18" t="s">
        <v>51</v>
      </c>
      <c r="K32" s="40"/>
      <c r="L32" s="18" t="s">
        <v>40</v>
      </c>
    </row>
    <row r="33" spans="1:13" x14ac:dyDescent="0.2">
      <c r="A33" s="1">
        <v>23</v>
      </c>
      <c r="B33" s="62"/>
      <c r="C33" s="49"/>
      <c r="D33" s="48"/>
      <c r="E33" s="48"/>
      <c r="F33" s="48"/>
      <c r="G33" s="70"/>
      <c r="H33" s="3" t="str">
        <f t="shared" si="1"/>
        <v/>
      </c>
      <c r="I33" s="1">
        <v>2</v>
      </c>
      <c r="J33" s="19" t="s">
        <v>52</v>
      </c>
      <c r="K33" s="41"/>
      <c r="L33" s="19" t="s">
        <v>40</v>
      </c>
    </row>
    <row r="34" spans="1:13" ht="13.5" thickBot="1" x14ac:dyDescent="0.25">
      <c r="A34" s="1">
        <v>24</v>
      </c>
      <c r="B34" s="62"/>
      <c r="C34" s="49"/>
      <c r="D34" s="48"/>
      <c r="E34" s="48"/>
      <c r="F34" s="48"/>
      <c r="G34" s="70"/>
      <c r="H34" s="3" t="str">
        <f t="shared" si="1"/>
        <v/>
      </c>
      <c r="I34" s="1">
        <v>3</v>
      </c>
      <c r="J34" s="20" t="s">
        <v>53</v>
      </c>
      <c r="K34" s="42"/>
      <c r="L34" s="20" t="s">
        <v>40</v>
      </c>
    </row>
    <row r="35" spans="1:13" x14ac:dyDescent="0.2">
      <c r="A35" s="1">
        <v>25</v>
      </c>
      <c r="B35" s="62"/>
      <c r="C35" s="49"/>
      <c r="D35" s="48"/>
      <c r="E35" s="48"/>
      <c r="F35" s="48"/>
      <c r="G35" s="70"/>
      <c r="H35" s="3" t="str">
        <f t="shared" si="1"/>
        <v/>
      </c>
      <c r="J35" s="1" t="s">
        <v>54</v>
      </c>
    </row>
    <row r="36" spans="1:13" ht="13.5" thickBot="1" x14ac:dyDescent="0.25">
      <c r="A36" s="1">
        <v>26</v>
      </c>
      <c r="B36" s="62"/>
      <c r="C36" s="49"/>
      <c r="D36" s="48"/>
      <c r="E36" s="48"/>
      <c r="F36" s="48"/>
      <c r="G36" s="70"/>
      <c r="H36" s="3" t="str">
        <f t="shared" si="1"/>
        <v/>
      </c>
    </row>
    <row r="37" spans="1:13" ht="15.75" thickBot="1" x14ac:dyDescent="0.3">
      <c r="A37" s="1">
        <v>27</v>
      </c>
      <c r="B37" s="62"/>
      <c r="C37" s="49"/>
      <c r="D37" s="48"/>
      <c r="E37" s="48"/>
      <c r="F37" s="48"/>
      <c r="G37" s="70"/>
      <c r="H37" s="3" t="str">
        <f t="shared" si="1"/>
        <v/>
      </c>
      <c r="J37" s="31" t="s">
        <v>61</v>
      </c>
      <c r="K37" s="32"/>
      <c r="L37" s="33"/>
    </row>
    <row r="38" spans="1:13" x14ac:dyDescent="0.2">
      <c r="A38" s="1">
        <v>28</v>
      </c>
      <c r="B38" s="62"/>
      <c r="C38" s="49"/>
      <c r="D38" s="48"/>
      <c r="E38" s="48"/>
      <c r="F38" s="48"/>
      <c r="G38" s="70"/>
      <c r="H38" s="3" t="str">
        <f t="shared" si="1"/>
        <v/>
      </c>
    </row>
    <row r="39" spans="1:13" x14ac:dyDescent="0.2">
      <c r="A39" s="1">
        <v>29</v>
      </c>
      <c r="B39" s="62"/>
      <c r="C39" s="49"/>
      <c r="D39" s="48"/>
      <c r="E39" s="48"/>
      <c r="F39" s="48"/>
      <c r="G39" s="70"/>
      <c r="H39" s="3" t="str">
        <f t="shared" si="1"/>
        <v/>
      </c>
      <c r="J39" s="14" t="s">
        <v>55</v>
      </c>
    </row>
    <row r="40" spans="1:13" ht="13.5" thickBot="1" x14ac:dyDescent="0.25">
      <c r="A40" s="1">
        <v>30</v>
      </c>
      <c r="B40" s="62"/>
      <c r="C40" s="49"/>
      <c r="D40" s="48"/>
      <c r="E40" s="48"/>
      <c r="F40" s="48"/>
      <c r="G40" s="70"/>
      <c r="H40" s="3" t="str">
        <f t="shared" si="1"/>
        <v/>
      </c>
    </row>
    <row r="41" spans="1:13" x14ac:dyDescent="0.2">
      <c r="A41" s="5">
        <v>31</v>
      </c>
      <c r="B41" s="62"/>
      <c r="C41" s="49"/>
      <c r="D41" s="48"/>
      <c r="E41" s="48"/>
      <c r="F41" s="48"/>
      <c r="G41" s="70"/>
      <c r="H41" s="3" t="str">
        <f t="shared" si="0"/>
        <v/>
      </c>
      <c r="I41" s="5">
        <v>1</v>
      </c>
      <c r="J41" s="15" t="s">
        <v>56</v>
      </c>
      <c r="K41" s="40"/>
      <c r="L41" s="15" t="s">
        <v>62</v>
      </c>
      <c r="M41" s="6"/>
    </row>
    <row r="42" spans="1:13" x14ac:dyDescent="0.2">
      <c r="A42" s="1">
        <v>32</v>
      </c>
      <c r="B42" s="62"/>
      <c r="C42" s="49"/>
      <c r="D42" s="48"/>
      <c r="E42" s="48"/>
      <c r="F42" s="48"/>
      <c r="G42" s="70"/>
      <c r="H42" s="3" t="str">
        <f t="shared" si="0"/>
        <v/>
      </c>
      <c r="I42" s="1">
        <v>2</v>
      </c>
      <c r="J42" s="16" t="s">
        <v>34</v>
      </c>
      <c r="K42" s="41"/>
      <c r="L42" s="16" t="s">
        <v>35</v>
      </c>
    </row>
    <row r="43" spans="1:13" x14ac:dyDescent="0.2">
      <c r="A43" s="1">
        <v>33</v>
      </c>
      <c r="B43" s="62"/>
      <c r="C43" s="49"/>
      <c r="D43" s="48"/>
      <c r="E43" s="48"/>
      <c r="F43" s="48"/>
      <c r="G43" s="70"/>
      <c r="H43" s="3" t="str">
        <f t="shared" si="0"/>
        <v/>
      </c>
      <c r="I43" s="1">
        <v>3</v>
      </c>
      <c r="J43" s="16" t="s">
        <v>36</v>
      </c>
      <c r="K43" s="41"/>
      <c r="L43" s="16" t="s">
        <v>35</v>
      </c>
    </row>
    <row r="44" spans="1:13" x14ac:dyDescent="0.2">
      <c r="A44" s="1">
        <v>34</v>
      </c>
      <c r="B44" s="62"/>
      <c r="C44" s="49"/>
      <c r="D44" s="48"/>
      <c r="E44" s="48"/>
      <c r="F44" s="48"/>
      <c r="G44" s="70"/>
      <c r="H44" s="3" t="str">
        <f t="shared" si="0"/>
        <v/>
      </c>
      <c r="I44" s="1">
        <v>4</v>
      </c>
      <c r="J44" s="16" t="s">
        <v>57</v>
      </c>
      <c r="K44" s="41"/>
      <c r="L44" s="16" t="s">
        <v>40</v>
      </c>
    </row>
    <row r="45" spans="1:13" ht="13.5" thickBot="1" x14ac:dyDescent="0.25">
      <c r="A45" s="1">
        <v>35</v>
      </c>
      <c r="B45" s="62"/>
      <c r="C45" s="49"/>
      <c r="D45" s="48"/>
      <c r="E45" s="48"/>
      <c r="F45" s="48"/>
      <c r="G45" s="70"/>
      <c r="H45" s="3" t="str">
        <f t="shared" si="0"/>
        <v/>
      </c>
      <c r="I45" s="1">
        <v>5</v>
      </c>
      <c r="J45" s="17" t="s">
        <v>58</v>
      </c>
      <c r="K45" s="42"/>
      <c r="L45" s="17" t="s">
        <v>40</v>
      </c>
    </row>
    <row r="46" spans="1:13" x14ac:dyDescent="0.2">
      <c r="A46" s="1">
        <v>36</v>
      </c>
      <c r="B46" s="62"/>
      <c r="C46" s="49"/>
      <c r="D46" s="48"/>
      <c r="E46" s="48"/>
      <c r="F46" s="48"/>
      <c r="G46" s="70"/>
      <c r="H46" s="3" t="str">
        <f t="shared" si="0"/>
        <v/>
      </c>
      <c r="J46" s="1" t="s">
        <v>59</v>
      </c>
    </row>
    <row r="47" spans="1:13" x14ac:dyDescent="0.2">
      <c r="A47" s="1">
        <v>37</v>
      </c>
      <c r="B47" s="62"/>
      <c r="C47" s="49"/>
      <c r="D47" s="48"/>
      <c r="E47" s="48"/>
      <c r="F47" s="48"/>
      <c r="G47" s="70"/>
      <c r="H47" s="3" t="str">
        <f t="shared" si="0"/>
        <v/>
      </c>
    </row>
    <row r="48" spans="1:13" x14ac:dyDescent="0.2">
      <c r="A48" s="1">
        <v>38</v>
      </c>
      <c r="B48" s="62"/>
      <c r="C48" s="49"/>
      <c r="D48" s="48"/>
      <c r="E48" s="48"/>
      <c r="F48" s="48"/>
      <c r="G48" s="70"/>
      <c r="H48" s="3" t="str">
        <f t="shared" si="0"/>
        <v/>
      </c>
    </row>
    <row r="49" spans="1:8" x14ac:dyDescent="0.2">
      <c r="A49" s="1">
        <v>39</v>
      </c>
      <c r="B49" s="62"/>
      <c r="C49" s="49"/>
      <c r="D49" s="48"/>
      <c r="E49" s="48"/>
      <c r="F49" s="48"/>
      <c r="G49" s="70"/>
      <c r="H49" s="3" t="str">
        <f t="shared" si="0"/>
        <v/>
      </c>
    </row>
    <row r="50" spans="1:8" x14ac:dyDescent="0.2">
      <c r="A50" s="1">
        <v>40</v>
      </c>
      <c r="B50" s="62"/>
      <c r="C50" s="49"/>
      <c r="D50" s="48"/>
      <c r="E50" s="48"/>
      <c r="F50" s="48"/>
      <c r="G50" s="70"/>
      <c r="H50" s="3" t="str">
        <f t="shared" si="0"/>
        <v/>
      </c>
    </row>
    <row r="51" spans="1:8" x14ac:dyDescent="0.2">
      <c r="A51" s="1">
        <v>41</v>
      </c>
      <c r="B51" s="62"/>
      <c r="C51" s="49"/>
      <c r="D51" s="48"/>
      <c r="E51" s="48"/>
      <c r="F51" s="48"/>
      <c r="G51" s="70"/>
      <c r="H51" s="3" t="str">
        <f t="shared" si="0"/>
        <v/>
      </c>
    </row>
    <row r="52" spans="1:8" x14ac:dyDescent="0.2">
      <c r="A52" s="1">
        <v>42</v>
      </c>
      <c r="B52" s="62"/>
      <c r="C52" s="49"/>
      <c r="D52" s="48"/>
      <c r="E52" s="48"/>
      <c r="F52" s="48"/>
      <c r="G52" s="70"/>
      <c r="H52" s="3" t="str">
        <f t="shared" si="0"/>
        <v/>
      </c>
    </row>
    <row r="53" spans="1:8" x14ac:dyDescent="0.2">
      <c r="A53" s="1">
        <v>43</v>
      </c>
      <c r="B53" s="62"/>
      <c r="C53" s="49"/>
      <c r="D53" s="48"/>
      <c r="E53" s="48"/>
      <c r="F53" s="48"/>
      <c r="G53" s="70"/>
      <c r="H53" s="3" t="str">
        <f t="shared" si="0"/>
        <v/>
      </c>
    </row>
    <row r="54" spans="1:8" x14ac:dyDescent="0.2">
      <c r="A54" s="1">
        <v>44</v>
      </c>
      <c r="B54" s="62"/>
      <c r="C54" s="49"/>
      <c r="D54" s="48"/>
      <c r="E54" s="48"/>
      <c r="F54" s="48"/>
      <c r="G54" s="70"/>
      <c r="H54" s="3" t="str">
        <f t="shared" si="0"/>
        <v/>
      </c>
    </row>
    <row r="55" spans="1:8" x14ac:dyDescent="0.2">
      <c r="A55" s="1">
        <v>45</v>
      </c>
      <c r="B55" s="62"/>
      <c r="C55" s="49"/>
      <c r="D55" s="48"/>
      <c r="E55" s="48"/>
      <c r="F55" s="48"/>
      <c r="G55" s="70"/>
      <c r="H55" s="3" t="str">
        <f t="shared" si="0"/>
        <v/>
      </c>
    </row>
    <row r="56" spans="1:8" x14ac:dyDescent="0.2">
      <c r="A56" s="1">
        <v>46</v>
      </c>
      <c r="B56" s="62"/>
      <c r="C56" s="49"/>
      <c r="D56" s="48"/>
      <c r="E56" s="48"/>
      <c r="F56" s="48"/>
      <c r="G56" s="70"/>
      <c r="H56" s="3" t="str">
        <f t="shared" si="0"/>
        <v/>
      </c>
    </row>
    <row r="57" spans="1:8" x14ac:dyDescent="0.2">
      <c r="A57" s="1">
        <v>47</v>
      </c>
      <c r="B57" s="62"/>
      <c r="C57" s="49"/>
      <c r="D57" s="48"/>
      <c r="E57" s="48"/>
      <c r="F57" s="48"/>
      <c r="G57" s="70"/>
      <c r="H57" s="3" t="str">
        <f t="shared" si="0"/>
        <v/>
      </c>
    </row>
    <row r="58" spans="1:8" x14ac:dyDescent="0.2">
      <c r="A58" s="1">
        <v>48</v>
      </c>
      <c r="B58" s="62"/>
      <c r="C58" s="49"/>
      <c r="D58" s="48"/>
      <c r="E58" s="48"/>
      <c r="F58" s="48"/>
      <c r="G58" s="70"/>
      <c r="H58" s="3" t="str">
        <f t="shared" si="0"/>
        <v/>
      </c>
    </row>
    <row r="59" spans="1:8" x14ac:dyDescent="0.2">
      <c r="A59" s="1">
        <v>49</v>
      </c>
      <c r="B59" s="62"/>
      <c r="C59" s="49"/>
      <c r="D59" s="48"/>
      <c r="E59" s="48"/>
      <c r="F59" s="48"/>
      <c r="G59" s="70"/>
      <c r="H59" s="3" t="str">
        <f t="shared" si="0"/>
        <v/>
      </c>
    </row>
    <row r="60" spans="1:8" x14ac:dyDescent="0.2">
      <c r="A60" s="1">
        <v>50</v>
      </c>
      <c r="B60" s="62"/>
      <c r="C60" s="49"/>
      <c r="D60" s="48"/>
      <c r="E60" s="48"/>
      <c r="F60" s="48"/>
      <c r="G60" s="70"/>
      <c r="H60" s="3" t="str">
        <f t="shared" si="0"/>
        <v/>
      </c>
    </row>
    <row r="61" spans="1:8" x14ac:dyDescent="0.2">
      <c r="A61" s="1">
        <v>51</v>
      </c>
      <c r="B61" s="62"/>
      <c r="C61" s="49"/>
      <c r="D61" s="48"/>
      <c r="E61" s="48"/>
      <c r="F61" s="48"/>
      <c r="G61" s="70"/>
      <c r="H61" s="3" t="str">
        <f t="shared" si="0"/>
        <v/>
      </c>
    </row>
    <row r="62" spans="1:8" x14ac:dyDescent="0.2">
      <c r="A62" s="1">
        <v>52</v>
      </c>
      <c r="B62" s="62"/>
      <c r="C62" s="49"/>
      <c r="D62" s="48"/>
      <c r="E62" s="48"/>
      <c r="F62" s="48"/>
      <c r="G62" s="70"/>
      <c r="H62" s="3" t="str">
        <f t="shared" si="0"/>
        <v/>
      </c>
    </row>
    <row r="63" spans="1:8" x14ac:dyDescent="0.2">
      <c r="A63" s="1">
        <v>53</v>
      </c>
      <c r="B63" s="62"/>
      <c r="C63" s="49"/>
      <c r="D63" s="48"/>
      <c r="E63" s="48"/>
      <c r="F63" s="48"/>
      <c r="G63" s="70"/>
      <c r="H63" s="3" t="str">
        <f t="shared" si="0"/>
        <v/>
      </c>
    </row>
    <row r="64" spans="1:8" x14ac:dyDescent="0.2">
      <c r="A64" s="1">
        <v>54</v>
      </c>
      <c r="B64" s="62"/>
      <c r="C64" s="49"/>
      <c r="D64" s="48"/>
      <c r="E64" s="48"/>
      <c r="F64" s="48"/>
      <c r="G64" s="70"/>
      <c r="H64" s="3" t="str">
        <f t="shared" si="0"/>
        <v/>
      </c>
    </row>
    <row r="65" spans="1:8" x14ac:dyDescent="0.2">
      <c r="A65" s="1">
        <v>55</v>
      </c>
      <c r="B65" s="62"/>
      <c r="C65" s="49"/>
      <c r="D65" s="48"/>
      <c r="E65" s="48"/>
      <c r="F65" s="48"/>
      <c r="G65" s="70"/>
      <c r="H65" s="3" t="str">
        <f t="shared" si="0"/>
        <v/>
      </c>
    </row>
    <row r="66" spans="1:8" x14ac:dyDescent="0.2">
      <c r="A66" s="1">
        <v>56</v>
      </c>
      <c r="B66" s="62"/>
      <c r="C66" s="49"/>
      <c r="D66" s="48"/>
      <c r="E66" s="48"/>
      <c r="F66" s="48"/>
      <c r="G66" s="70"/>
      <c r="H66" s="3" t="str">
        <f t="shared" si="0"/>
        <v/>
      </c>
    </row>
    <row r="67" spans="1:8" ht="13.5" thickBot="1" x14ac:dyDescent="0.25">
      <c r="A67" s="1">
        <v>57</v>
      </c>
      <c r="B67" s="63"/>
      <c r="C67" s="64"/>
      <c r="D67" s="48"/>
      <c r="E67" s="48"/>
      <c r="F67" s="48"/>
      <c r="G67" s="70"/>
      <c r="H67" s="3" t="str">
        <f t="shared" si="0"/>
        <v/>
      </c>
    </row>
    <row r="68" spans="1:8" x14ac:dyDescent="0.2">
      <c r="A68" s="1">
        <v>58</v>
      </c>
      <c r="B68" s="59" t="s">
        <v>25</v>
      </c>
      <c r="C68" s="66" t="s">
        <v>22</v>
      </c>
      <c r="D68" s="65"/>
      <c r="E68" s="48"/>
      <c r="F68" s="48"/>
      <c r="G68" s="70"/>
      <c r="H68" s="3" t="str">
        <f t="shared" si="0"/>
        <v/>
      </c>
    </row>
    <row r="69" spans="1:8" x14ac:dyDescent="0.2">
      <c r="A69" s="1">
        <v>59</v>
      </c>
      <c r="B69" s="46" t="s">
        <v>28</v>
      </c>
      <c r="C69" s="67" t="s">
        <v>29</v>
      </c>
      <c r="D69" s="65"/>
      <c r="E69" s="48"/>
      <c r="F69" s="48"/>
      <c r="G69" s="70"/>
      <c r="H69" s="3" t="str">
        <f t="shared" si="0"/>
        <v/>
      </c>
    </row>
    <row r="70" spans="1:8" ht="13.5" thickBot="1" x14ac:dyDescent="0.25">
      <c r="A70" s="1">
        <v>60</v>
      </c>
      <c r="B70" s="50" t="s">
        <v>32</v>
      </c>
      <c r="C70" s="68" t="s">
        <v>33</v>
      </c>
      <c r="D70" s="71"/>
      <c r="E70" s="72"/>
      <c r="F70" s="72"/>
      <c r="G70" s="73"/>
      <c r="H70" s="3" t="str">
        <f t="shared" si="0"/>
        <v/>
      </c>
    </row>
    <row r="71" spans="1:8" x14ac:dyDescent="0.2">
      <c r="B71" s="1" t="s">
        <v>60</v>
      </c>
    </row>
  </sheetData>
  <phoneticPr fontId="3" type="noConversion"/>
  <conditionalFormatting sqref="B14:B67">
    <cfRule type="expression" dxfId="2" priority="5">
      <formula>LEFT($H14,3)="A l"</formula>
    </cfRule>
  </conditionalFormatting>
  <conditionalFormatting sqref="C14:C67">
    <cfRule type="expression" dxfId="1" priority="4">
      <formula>LEFT($H14,3)="A t"</formula>
    </cfRule>
  </conditionalFormatting>
  <conditionalFormatting sqref="H11:H70">
    <cfRule type="expression" dxfId="0" priority="1">
      <formula>$H11&lt;&gt;""</formula>
    </cfRule>
  </conditionalFormatting>
  <dataValidations count="4">
    <dataValidation type="whole" operator="greaterThanOrEqual" allowBlank="1" showInputMessage="1" showErrorMessage="1" sqref="K41:K45 K11:K17 K21:K27 K32:K34 D11:G70" xr:uid="{64FA05B6-148E-45B9-A49E-F39176B6CEF1}">
      <formula1>0</formula1>
    </dataValidation>
    <dataValidation type="list" allowBlank="1" showInputMessage="1" showErrorMessage="1" sqref="B15:B67" xr:uid="{14C63EB0-06DE-447B-A1DB-D23F5315E449}">
      <formula1>"Lorry 1,Lorry 2,Lorry 3"</formula1>
    </dataValidation>
    <dataValidation type="list" allowBlank="1" showInputMessage="1" showErrorMessage="1" sqref="C14:C67" xr:uid="{F4545FE6-B79A-45A6-B52B-404B65D6DBA8}">
      <formula1>"Arnhem factory,Vesoul factory,Paris,Berlin,Bucharest,Budapest,Kemijarvi,Madrid,Milan,Rauma,Rome,Warsaw"</formula1>
    </dataValidation>
    <dataValidation type="list" allowBlank="1" showInputMessage="1" showErrorMessage="1" sqref="B14" xr:uid="{9DEB4B96-455E-4AEB-8584-CED02093553C}">
      <mc:AlternateContent xmlns:x12ac="http://schemas.microsoft.com/office/spreadsheetml/2011/1/ac" xmlns:mc="http://schemas.openxmlformats.org/markup-compatibility/2006">
        <mc:Choice Requires="x12ac">
          <x12ac:list>Lorry 1,Lorry 2,Lorry 3,""""""""""</x12ac:list>
        </mc:Choice>
        <mc:Fallback>
          <formula1>"Lorry 1,Lorry 2,Lorry 3,"""""""""</formula1>
        </mc:Fallback>
      </mc:AlternateContent>
    </dataValidation>
  </dataValidations>
  <pageMargins left="0.78749999999999998" right="0.78749999999999998" top="1.05277777777778" bottom="1.05277777777778" header="0.78749999999999998" footer="0.78749999999999998"/>
  <pageSetup paperSize="9" fitToHeight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38EC-85EF-4CB7-AF41-5AB5B96BE19A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1016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decision_template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FALLOT PIERRE</dc:creator>
  <dc:description/>
  <cp:lastModifiedBy>Pierre Fallot</cp:lastModifiedBy>
  <cp:revision>19</cp:revision>
  <dcterms:created xsi:type="dcterms:W3CDTF">2025-04-03T13:56:53Z</dcterms:created>
  <dcterms:modified xsi:type="dcterms:W3CDTF">2025-04-06T18:07:31Z</dcterms:modified>
  <dc:language>en-SG</dc:language>
</cp:coreProperties>
</file>