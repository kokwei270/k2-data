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2.xml" ContentType="application/vnd.ms-excel.controlproperties+xml"/>
  <Override PartName="/xl/drawings/drawing4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X:\MLT\Kiwis_2024\Profs\Equipe 03\"/>
    </mc:Choice>
  </mc:AlternateContent>
  <xr:revisionPtr revIDLastSave="0" documentId="8_{BC0B432F-2075-4B82-8226-DF58A9CB2B99}" xr6:coauthVersionLast="36" xr6:coauthVersionMax="36" xr10:uidLastSave="{00000000-0000-0000-0000-000000000000}"/>
  <bookViews>
    <workbookView xWindow="0" yWindow="0" windowWidth="23040" windowHeight="9060" firstSheet="19" activeTab="27" xr2:uid="{6D57FB90-1986-49EA-8944-B86B85BB994D}"/>
  </bookViews>
  <sheets>
    <sheet name="Account" sheetId="1" r:id="rId1"/>
    <sheet name="Arnhem" sheetId="2" r:id="rId2"/>
    <sheet name="Vesoul" sheetId="3" r:id="rId3"/>
    <sheet name="Auckland" sheetId="4" r:id="rId4"/>
    <sheet name="Lorry1" sheetId="5" r:id="rId5"/>
    <sheet name="Lorry2" sheetId="6" r:id="rId6"/>
    <sheet name="Lorry3" sheetId="7" r:id="rId7"/>
    <sheet name="Wharehouse1" sheetId="8" r:id="rId8"/>
    <sheet name="Wharehouse2" sheetId="9" r:id="rId9"/>
    <sheet name="Wharehouse3" sheetId="10" r:id="rId10"/>
    <sheet name="Wharehouse4" sheetId="11" r:id="rId11"/>
    <sheet name="Wharehouse5" sheetId="12" r:id="rId12"/>
    <sheet name="Wharehouse6" sheetId="13" r:id="rId13"/>
    <sheet name="Wharehouse7" sheetId="14" r:id="rId14"/>
    <sheet name="Wharehouse8" sheetId="15" r:id="rId15"/>
    <sheet name="Wharehouse9" sheetId="16" r:id="rId16"/>
    <sheet name="Wharehouse10" sheetId="17" r:id="rId17"/>
    <sheet name="Liste_Elements" sheetId="18" r:id="rId18"/>
    <sheet name="Intercontinental_transport" sheetId="19" r:id="rId19"/>
    <sheet name="Purchasing" sheetId="20" r:id="rId20"/>
    <sheet name="Demande_alea" sheetId="21" r:id="rId21"/>
    <sheet name="Demand" sheetId="22" r:id="rId22"/>
    <sheet name="Distances" sheetId="23" r:id="rId23"/>
    <sheet name="Cout_revient" sheetId="24" r:id="rId24"/>
    <sheet name="Nomenclature" sheetId="25" r:id="rId25"/>
    <sheet name="Process" sheetId="26" r:id="rId26"/>
    <sheet name="Translation" sheetId="27" r:id="rId27"/>
    <sheet name="Order" sheetId="28" r:id="rId28"/>
    <sheet name="Bilan" sheetId="29" r:id="rId29"/>
    <sheet name="Execution_Transports" sheetId="30" r:id="rId30"/>
    <sheet name="Graphiques_Produits" sheetId="31" r:id="rId31"/>
  </sheets>
  <externalReferences>
    <externalReference r:id="rId32"/>
  </externalReferences>
  <definedNames>
    <definedName name="_xlnm._FilterDatabase" localSheetId="27" hidden="1">Order!#REF!</definedName>
    <definedName name="_xlnm._FilterDatabase" localSheetId="8" hidden="1">Wharehouse2!$A$1:$A$2</definedName>
    <definedName name="a" localSheetId="30">#REF!</definedName>
    <definedName name="a">Demande_alea!$D1</definedName>
    <definedName name="b" localSheetId="30">#REF!</definedName>
    <definedName name="b">Demande_alea!$E1</definedName>
    <definedName name="d" localSheetId="30">#REF!</definedName>
    <definedName name="d">Demande_alea!$H1</definedName>
    <definedName name="f" localSheetId="30">#REF!</definedName>
    <definedName name="f">Demande_alea!$F1</definedName>
    <definedName name="k" localSheetId="30">#REF!</definedName>
    <definedName name="k">Demande_alea!$G1</definedName>
    <definedName name="s" localSheetId="30">#REF!</definedName>
    <definedName name="s">Demande_alea!$I1</definedName>
    <definedName name="t" localSheetId="30">#REF!</definedName>
    <definedName name="t">Demande_alea!A$2</definedName>
    <definedName name="_xlnm.Print_Area" localSheetId="22">Distances!$A$1:$P$26</definedName>
    <definedName name="_xlnm.Print_Area" localSheetId="24">Nomenclature!$D$9:$N$17</definedName>
    <definedName name="_xlnm.Print_Area" localSheetId="27">Order!$C$22:$W$84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" i="31" l="1"/>
  <c r="M53" i="31" s="1"/>
  <c r="J53" i="31" s="1"/>
  <c r="K53" i="31" s="1"/>
  <c r="AD52" i="30"/>
  <c r="AC52" i="30"/>
  <c r="AB52" i="30"/>
  <c r="AA52" i="30"/>
  <c r="Z52" i="30"/>
  <c r="Y52" i="30" s="1"/>
  <c r="X52" i="30"/>
  <c r="U52" i="30"/>
  <c r="T52" i="30"/>
  <c r="S52" i="30"/>
  <c r="R52" i="30"/>
  <c r="Q52" i="30"/>
  <c r="P52" i="30" s="1"/>
  <c r="O52" i="30"/>
  <c r="L52" i="30"/>
  <c r="K52" i="30"/>
  <c r="J52" i="30"/>
  <c r="I52" i="30"/>
  <c r="H52" i="30"/>
  <c r="G52" i="30"/>
  <c r="F52" i="30"/>
  <c r="AD51" i="30"/>
  <c r="AC51" i="30"/>
  <c r="AB51" i="30"/>
  <c r="AA51" i="30"/>
  <c r="Z51" i="30"/>
  <c r="Y51" i="30" s="1"/>
  <c r="X51" i="30"/>
  <c r="U51" i="30"/>
  <c r="T51" i="30"/>
  <c r="S51" i="30"/>
  <c r="R51" i="30"/>
  <c r="Q51" i="30"/>
  <c r="P51" i="30"/>
  <c r="O51" i="30"/>
  <c r="L51" i="30"/>
  <c r="K51" i="30"/>
  <c r="J51" i="30"/>
  <c r="I51" i="30"/>
  <c r="H51" i="30"/>
  <c r="G51" i="30" s="1"/>
  <c r="F51" i="30"/>
  <c r="AD50" i="30"/>
  <c r="AC50" i="30"/>
  <c r="AB50" i="30"/>
  <c r="AA50" i="30"/>
  <c r="Z50" i="30"/>
  <c r="Y50" i="30"/>
  <c r="X50" i="30"/>
  <c r="U50" i="30"/>
  <c r="T50" i="30"/>
  <c r="S50" i="30"/>
  <c r="R50" i="30"/>
  <c r="Q50" i="30"/>
  <c r="P50" i="30"/>
  <c r="O50" i="30"/>
  <c r="L50" i="30"/>
  <c r="K50" i="30"/>
  <c r="J50" i="30"/>
  <c r="I50" i="30"/>
  <c r="H50" i="30"/>
  <c r="G50" i="30" s="1"/>
  <c r="F50" i="30"/>
  <c r="AD49" i="30"/>
  <c r="AC49" i="30"/>
  <c r="AB49" i="30"/>
  <c r="AA49" i="30"/>
  <c r="Z49" i="30"/>
  <c r="Y49" i="30" s="1"/>
  <c r="X49" i="30"/>
  <c r="U49" i="30"/>
  <c r="T49" i="30"/>
  <c r="S49" i="30"/>
  <c r="R49" i="30"/>
  <c r="Q49" i="30"/>
  <c r="P49" i="30"/>
  <c r="O49" i="30"/>
  <c r="L49" i="30"/>
  <c r="K49" i="30"/>
  <c r="J49" i="30"/>
  <c r="I49" i="30"/>
  <c r="H49" i="30"/>
  <c r="G49" i="30" s="1"/>
  <c r="F49" i="30"/>
  <c r="AD48" i="30"/>
  <c r="AC48" i="30"/>
  <c r="AB48" i="30"/>
  <c r="AA48" i="30"/>
  <c r="Z48" i="30"/>
  <c r="Y48" i="30"/>
  <c r="X48" i="30"/>
  <c r="U48" i="30"/>
  <c r="T48" i="30"/>
  <c r="S48" i="30"/>
  <c r="R48" i="30"/>
  <c r="Q48" i="30"/>
  <c r="P48" i="30" s="1"/>
  <c r="O48" i="30"/>
  <c r="L48" i="30"/>
  <c r="K48" i="30"/>
  <c r="J48" i="30"/>
  <c r="I48" i="30"/>
  <c r="H48" i="30"/>
  <c r="G48" i="30"/>
  <c r="F48" i="30"/>
  <c r="AD47" i="30"/>
  <c r="AC47" i="30"/>
  <c r="AB47" i="30"/>
  <c r="AA47" i="30"/>
  <c r="Z47" i="30"/>
  <c r="Y47" i="30"/>
  <c r="X47" i="30"/>
  <c r="U47" i="30"/>
  <c r="T47" i="30"/>
  <c r="S47" i="30"/>
  <c r="R47" i="30"/>
  <c r="Q47" i="30"/>
  <c r="P47" i="30" s="1"/>
  <c r="O47" i="30"/>
  <c r="L47" i="30"/>
  <c r="K47" i="30"/>
  <c r="J47" i="30"/>
  <c r="I47" i="30"/>
  <c r="H47" i="30"/>
  <c r="G47" i="30" s="1"/>
  <c r="F47" i="30"/>
  <c r="AD46" i="30"/>
  <c r="AC46" i="30"/>
  <c r="AB46" i="30"/>
  <c r="AA46" i="30"/>
  <c r="Z46" i="30"/>
  <c r="Y46" i="30"/>
  <c r="X46" i="30"/>
  <c r="U46" i="30"/>
  <c r="T46" i="30"/>
  <c r="S46" i="30"/>
  <c r="R46" i="30"/>
  <c r="Q46" i="30"/>
  <c r="P46" i="30" s="1"/>
  <c r="O46" i="30"/>
  <c r="L46" i="30"/>
  <c r="K46" i="30"/>
  <c r="J46" i="30"/>
  <c r="I46" i="30"/>
  <c r="H46" i="30"/>
  <c r="G46" i="30"/>
  <c r="F46" i="30"/>
  <c r="AD45" i="30"/>
  <c r="AC45" i="30"/>
  <c r="AB45" i="30"/>
  <c r="AA45" i="30"/>
  <c r="Z45" i="30"/>
  <c r="Y45" i="30" s="1"/>
  <c r="X45" i="30"/>
  <c r="U45" i="30"/>
  <c r="T45" i="30"/>
  <c r="S45" i="30"/>
  <c r="R45" i="30"/>
  <c r="Q45" i="30"/>
  <c r="P45" i="30"/>
  <c r="O45" i="30"/>
  <c r="L45" i="30"/>
  <c r="K45" i="30"/>
  <c r="J45" i="30"/>
  <c r="I45" i="30"/>
  <c r="H45" i="30"/>
  <c r="G45" i="30"/>
  <c r="F45" i="30"/>
  <c r="AD44" i="30"/>
  <c r="AC44" i="30"/>
  <c r="AB44" i="30"/>
  <c r="AA44" i="30"/>
  <c r="Z44" i="30"/>
  <c r="Y44" i="30" s="1"/>
  <c r="X44" i="30"/>
  <c r="U44" i="30"/>
  <c r="T44" i="30"/>
  <c r="S44" i="30"/>
  <c r="R44" i="30"/>
  <c r="Q44" i="30"/>
  <c r="P44" i="30" s="1"/>
  <c r="O44" i="30"/>
  <c r="L44" i="30"/>
  <c r="K44" i="30"/>
  <c r="J44" i="30"/>
  <c r="I44" i="30"/>
  <c r="H44" i="30"/>
  <c r="G44" i="30"/>
  <c r="F44" i="30"/>
  <c r="AD43" i="30"/>
  <c r="AC43" i="30"/>
  <c r="AB43" i="30"/>
  <c r="AA43" i="30"/>
  <c r="Z43" i="30"/>
  <c r="Y43" i="30" s="1"/>
  <c r="X43" i="30"/>
  <c r="U43" i="30"/>
  <c r="T43" i="30"/>
  <c r="S43" i="30"/>
  <c r="R43" i="30"/>
  <c r="Q43" i="30"/>
  <c r="P43" i="30"/>
  <c r="O43" i="30"/>
  <c r="L43" i="30"/>
  <c r="K43" i="30"/>
  <c r="J43" i="30"/>
  <c r="I43" i="30"/>
  <c r="H43" i="30"/>
  <c r="G43" i="30" s="1"/>
  <c r="F43" i="30"/>
  <c r="AD42" i="30"/>
  <c r="AC42" i="30"/>
  <c r="AB42" i="30"/>
  <c r="AA42" i="30"/>
  <c r="Z42" i="30"/>
  <c r="Y42" i="30"/>
  <c r="X42" i="30"/>
  <c r="U42" i="30"/>
  <c r="T42" i="30"/>
  <c r="S42" i="30"/>
  <c r="R42" i="30"/>
  <c r="Q42" i="30"/>
  <c r="P42" i="30"/>
  <c r="O42" i="30"/>
  <c r="L42" i="30"/>
  <c r="K42" i="30"/>
  <c r="J42" i="30"/>
  <c r="I42" i="30"/>
  <c r="H42" i="30"/>
  <c r="G42" i="30" s="1"/>
  <c r="F42" i="30"/>
  <c r="AD41" i="30"/>
  <c r="AC41" i="30"/>
  <c r="AB41" i="30"/>
  <c r="AA41" i="30"/>
  <c r="Z41" i="30"/>
  <c r="Y41" i="30" s="1"/>
  <c r="X41" i="30"/>
  <c r="U41" i="30"/>
  <c r="T41" i="30"/>
  <c r="S41" i="30"/>
  <c r="R41" i="30"/>
  <c r="Q41" i="30"/>
  <c r="P41" i="30"/>
  <c r="O41" i="30"/>
  <c r="L41" i="30"/>
  <c r="K41" i="30"/>
  <c r="J41" i="30"/>
  <c r="I41" i="30"/>
  <c r="H41" i="30"/>
  <c r="G41" i="30" s="1"/>
  <c r="F41" i="30"/>
  <c r="AD40" i="30"/>
  <c r="AC40" i="30"/>
  <c r="AB40" i="30"/>
  <c r="AA40" i="30"/>
  <c r="Z40" i="30"/>
  <c r="Y40" i="30"/>
  <c r="X40" i="30"/>
  <c r="U40" i="30"/>
  <c r="T40" i="30"/>
  <c r="S40" i="30"/>
  <c r="R40" i="30"/>
  <c r="Q40" i="30"/>
  <c r="P40" i="30" s="1"/>
  <c r="O40" i="30"/>
  <c r="L40" i="30"/>
  <c r="K40" i="30"/>
  <c r="J40" i="30"/>
  <c r="I40" i="30"/>
  <c r="H40" i="30"/>
  <c r="G40" i="30"/>
  <c r="F40" i="30"/>
  <c r="AD39" i="30"/>
  <c r="AC39" i="30"/>
  <c r="AB39" i="30"/>
  <c r="AA39" i="30"/>
  <c r="Z39" i="30"/>
  <c r="Y39" i="30"/>
  <c r="X39" i="30"/>
  <c r="U39" i="30"/>
  <c r="T39" i="30"/>
  <c r="S39" i="30"/>
  <c r="R39" i="30"/>
  <c r="Q39" i="30"/>
  <c r="P39" i="30" s="1"/>
  <c r="O39" i="30"/>
  <c r="L39" i="30"/>
  <c r="K39" i="30"/>
  <c r="J39" i="30"/>
  <c r="I39" i="30"/>
  <c r="H39" i="30"/>
  <c r="G39" i="30" s="1"/>
  <c r="F39" i="30"/>
  <c r="AD38" i="30"/>
  <c r="AC38" i="30"/>
  <c r="AB38" i="30"/>
  <c r="AA38" i="30"/>
  <c r="Z38" i="30"/>
  <c r="Y38" i="30"/>
  <c r="X38" i="30"/>
  <c r="U38" i="30"/>
  <c r="T38" i="30"/>
  <c r="S38" i="30"/>
  <c r="R38" i="30"/>
  <c r="Q38" i="30"/>
  <c r="P38" i="30" s="1"/>
  <c r="O38" i="30"/>
  <c r="L38" i="30"/>
  <c r="K38" i="30"/>
  <c r="J38" i="30"/>
  <c r="I38" i="30"/>
  <c r="H38" i="30"/>
  <c r="G38" i="30"/>
  <c r="F38" i="30"/>
  <c r="AD37" i="30"/>
  <c r="AC37" i="30"/>
  <c r="AB37" i="30"/>
  <c r="AA37" i="30"/>
  <c r="Z37" i="30"/>
  <c r="Y37" i="30" s="1"/>
  <c r="X37" i="30"/>
  <c r="U37" i="30"/>
  <c r="T37" i="30"/>
  <c r="S37" i="30"/>
  <c r="R37" i="30"/>
  <c r="Q37" i="30"/>
  <c r="P37" i="30"/>
  <c r="O37" i="30"/>
  <c r="L37" i="30"/>
  <c r="K37" i="30"/>
  <c r="J37" i="30"/>
  <c r="I37" i="30"/>
  <c r="H37" i="30"/>
  <c r="G37" i="30"/>
  <c r="F37" i="30"/>
  <c r="AD36" i="30"/>
  <c r="AC36" i="30"/>
  <c r="AB36" i="30"/>
  <c r="AA36" i="30"/>
  <c r="Z36" i="30"/>
  <c r="Y36" i="30" s="1"/>
  <c r="X36" i="30"/>
  <c r="U36" i="30"/>
  <c r="T36" i="30"/>
  <c r="S36" i="30"/>
  <c r="R36" i="30"/>
  <c r="Q36" i="30"/>
  <c r="P36" i="30" s="1"/>
  <c r="O36" i="30"/>
  <c r="L36" i="30"/>
  <c r="K36" i="30"/>
  <c r="J36" i="30"/>
  <c r="I36" i="30"/>
  <c r="H36" i="30"/>
  <c r="G36" i="30"/>
  <c r="F36" i="30"/>
  <c r="AD35" i="30"/>
  <c r="AC35" i="30"/>
  <c r="AB35" i="30"/>
  <c r="AA35" i="30"/>
  <c r="Z35" i="30"/>
  <c r="Y35" i="30" s="1"/>
  <c r="X35" i="30"/>
  <c r="U35" i="30"/>
  <c r="T35" i="30"/>
  <c r="S35" i="30"/>
  <c r="R35" i="30"/>
  <c r="Q35" i="30"/>
  <c r="P35" i="30"/>
  <c r="O35" i="30"/>
  <c r="L35" i="30"/>
  <c r="K35" i="30"/>
  <c r="J35" i="30"/>
  <c r="I35" i="30"/>
  <c r="H35" i="30"/>
  <c r="G35" i="30" s="1"/>
  <c r="F35" i="30"/>
  <c r="AD34" i="30"/>
  <c r="AC34" i="30"/>
  <c r="AB34" i="30"/>
  <c r="AA34" i="30"/>
  <c r="Z34" i="30"/>
  <c r="Y34" i="30"/>
  <c r="X34" i="30"/>
  <c r="U34" i="30"/>
  <c r="T34" i="30"/>
  <c r="S34" i="30"/>
  <c r="R34" i="30"/>
  <c r="Q34" i="30"/>
  <c r="P34" i="30"/>
  <c r="O34" i="30"/>
  <c r="L34" i="30"/>
  <c r="K34" i="30"/>
  <c r="J34" i="30"/>
  <c r="I34" i="30"/>
  <c r="H34" i="30"/>
  <c r="G34" i="30" s="1"/>
  <c r="F34" i="30"/>
  <c r="AD33" i="30"/>
  <c r="AC33" i="30"/>
  <c r="AB33" i="30"/>
  <c r="AA33" i="30"/>
  <c r="Z33" i="30"/>
  <c r="Y33" i="30" s="1"/>
  <c r="X33" i="30"/>
  <c r="U33" i="30"/>
  <c r="T33" i="30"/>
  <c r="S33" i="30"/>
  <c r="R33" i="30"/>
  <c r="Q33" i="30"/>
  <c r="P33" i="30"/>
  <c r="O33" i="30"/>
  <c r="L33" i="30"/>
  <c r="K33" i="30"/>
  <c r="J33" i="30"/>
  <c r="I33" i="30"/>
  <c r="H33" i="30"/>
  <c r="G33" i="30" s="1"/>
  <c r="F33" i="30"/>
  <c r="AD32" i="30"/>
  <c r="AC32" i="30"/>
  <c r="AB32" i="30"/>
  <c r="AA32" i="30"/>
  <c r="Z32" i="30"/>
  <c r="Y32" i="30"/>
  <c r="X32" i="30"/>
  <c r="U32" i="30"/>
  <c r="T32" i="30"/>
  <c r="S32" i="30"/>
  <c r="R32" i="30"/>
  <c r="Q32" i="30"/>
  <c r="P32" i="30" s="1"/>
  <c r="O32" i="30"/>
  <c r="L32" i="30"/>
  <c r="K32" i="30"/>
  <c r="J32" i="30"/>
  <c r="I32" i="30"/>
  <c r="H32" i="30"/>
  <c r="G32" i="30"/>
  <c r="F32" i="30"/>
  <c r="AD31" i="30"/>
  <c r="AC31" i="30"/>
  <c r="AB31" i="30"/>
  <c r="AA31" i="30"/>
  <c r="Z31" i="30"/>
  <c r="Y31" i="30"/>
  <c r="X31" i="30"/>
  <c r="U31" i="30"/>
  <c r="T31" i="30"/>
  <c r="S31" i="30"/>
  <c r="R31" i="30"/>
  <c r="Q31" i="30"/>
  <c r="P31" i="30" s="1"/>
  <c r="O31" i="30"/>
  <c r="L31" i="30"/>
  <c r="K31" i="30"/>
  <c r="J31" i="30"/>
  <c r="I31" i="30"/>
  <c r="H31" i="30"/>
  <c r="G31" i="30" s="1"/>
  <c r="F31" i="30"/>
  <c r="AD30" i="30"/>
  <c r="AC30" i="30"/>
  <c r="AB30" i="30"/>
  <c r="AA30" i="30"/>
  <c r="Z30" i="30"/>
  <c r="Y30" i="30"/>
  <c r="X30" i="30"/>
  <c r="U30" i="30"/>
  <c r="T30" i="30"/>
  <c r="S30" i="30"/>
  <c r="R30" i="30"/>
  <c r="Q30" i="30"/>
  <c r="P30" i="30" s="1"/>
  <c r="O30" i="30"/>
  <c r="L30" i="30"/>
  <c r="K30" i="30"/>
  <c r="J30" i="30"/>
  <c r="I30" i="30"/>
  <c r="H30" i="30"/>
  <c r="G30" i="30"/>
  <c r="F30" i="30"/>
  <c r="AD29" i="30"/>
  <c r="AC29" i="30"/>
  <c r="AB29" i="30"/>
  <c r="AA29" i="30"/>
  <c r="Z29" i="30"/>
  <c r="Y29" i="30" s="1"/>
  <c r="X29" i="30"/>
  <c r="U29" i="30"/>
  <c r="T29" i="30"/>
  <c r="S29" i="30"/>
  <c r="R29" i="30"/>
  <c r="Q29" i="30"/>
  <c r="P29" i="30"/>
  <c r="O29" i="30"/>
  <c r="L29" i="30"/>
  <c r="K29" i="30"/>
  <c r="J29" i="30"/>
  <c r="I29" i="30"/>
  <c r="H29" i="30"/>
  <c r="G29" i="30"/>
  <c r="F29" i="30"/>
  <c r="AD28" i="30"/>
  <c r="AC28" i="30"/>
  <c r="AB28" i="30"/>
  <c r="AA28" i="30"/>
  <c r="Z28" i="30"/>
  <c r="Y28" i="30" s="1"/>
  <c r="X28" i="30"/>
  <c r="U28" i="30"/>
  <c r="T28" i="30"/>
  <c r="S28" i="30"/>
  <c r="R28" i="30"/>
  <c r="Q28" i="30"/>
  <c r="P28" i="30" s="1"/>
  <c r="O28" i="30"/>
  <c r="L28" i="30"/>
  <c r="K28" i="30"/>
  <c r="J28" i="30"/>
  <c r="I28" i="30"/>
  <c r="I54" i="30" s="1"/>
  <c r="H28" i="30"/>
  <c r="G28" i="30"/>
  <c r="F28" i="30"/>
  <c r="A2" i="30"/>
  <c r="A3" i="30" s="1"/>
  <c r="A1" i="30" s="1"/>
  <c r="P236" i="29"/>
  <c r="O236" i="29"/>
  <c r="N236" i="29"/>
  <c r="M236" i="29"/>
  <c r="L236" i="29"/>
  <c r="K236" i="29"/>
  <c r="J236" i="29"/>
  <c r="I236" i="29"/>
  <c r="H236" i="29"/>
  <c r="G236" i="29"/>
  <c r="F236" i="29"/>
  <c r="E236" i="29"/>
  <c r="P234" i="29"/>
  <c r="O234" i="29"/>
  <c r="N234" i="29"/>
  <c r="M234" i="29"/>
  <c r="L234" i="29"/>
  <c r="K234" i="29"/>
  <c r="J234" i="29"/>
  <c r="I234" i="29"/>
  <c r="H234" i="29"/>
  <c r="G234" i="29"/>
  <c r="F234" i="29"/>
  <c r="E234" i="29"/>
  <c r="P233" i="29"/>
  <c r="P235" i="29" s="1"/>
  <c r="O233" i="29"/>
  <c r="O235" i="29" s="1"/>
  <c r="N233" i="29"/>
  <c r="N235" i="29" s="1"/>
  <c r="M233" i="29"/>
  <c r="M235" i="29" s="1"/>
  <c r="L233" i="29"/>
  <c r="L235" i="29" s="1"/>
  <c r="K233" i="29"/>
  <c r="K235" i="29" s="1"/>
  <c r="J233" i="29"/>
  <c r="J235" i="29" s="1"/>
  <c r="I233" i="29"/>
  <c r="I235" i="29" s="1"/>
  <c r="H233" i="29"/>
  <c r="H235" i="29" s="1"/>
  <c r="G233" i="29"/>
  <c r="G235" i="29" s="1"/>
  <c r="F233" i="29"/>
  <c r="F235" i="29" s="1"/>
  <c r="E233" i="29"/>
  <c r="E235" i="29" s="1"/>
  <c r="AA52" i="28"/>
  <c r="Z52" i="28"/>
  <c r="S52" i="28"/>
  <c r="K52" i="28"/>
  <c r="C52" i="28"/>
  <c r="AA51" i="28"/>
  <c r="Z51" i="28"/>
  <c r="S51" i="28"/>
  <c r="K51" i="28"/>
  <c r="C51" i="28"/>
  <c r="AA50" i="28"/>
  <c r="Z50" i="28"/>
  <c r="S50" i="28"/>
  <c r="K50" i="28"/>
  <c r="C50" i="28"/>
  <c r="AA49" i="28"/>
  <c r="Z49" i="28"/>
  <c r="S49" i="28"/>
  <c r="K49" i="28"/>
  <c r="C49" i="28"/>
  <c r="AA48" i="28"/>
  <c r="Z48" i="28"/>
  <c r="S48" i="28"/>
  <c r="K48" i="28"/>
  <c r="C48" i="28"/>
  <c r="AA47" i="28"/>
  <c r="Z47" i="28"/>
  <c r="S47" i="28"/>
  <c r="K47" i="28"/>
  <c r="C47" i="28"/>
  <c r="AA46" i="28"/>
  <c r="Z46" i="28"/>
  <c r="S46" i="28"/>
  <c r="K46" i="28"/>
  <c r="C46" i="28"/>
  <c r="AA45" i="28"/>
  <c r="Z45" i="28"/>
  <c r="S45" i="28"/>
  <c r="K45" i="28"/>
  <c r="C45" i="28"/>
  <c r="AA44" i="28"/>
  <c r="Z44" i="28"/>
  <c r="S44" i="28"/>
  <c r="K44" i="28"/>
  <c r="C44" i="28"/>
  <c r="AA43" i="28"/>
  <c r="Z43" i="28"/>
  <c r="S43" i="28"/>
  <c r="K43" i="28"/>
  <c r="C43" i="28"/>
  <c r="AA42" i="28"/>
  <c r="Z42" i="28"/>
  <c r="S42" i="28"/>
  <c r="K42" i="28"/>
  <c r="C42" i="28"/>
  <c r="AA41" i="28"/>
  <c r="Z41" i="28"/>
  <c r="S41" i="28"/>
  <c r="K41" i="28"/>
  <c r="C41" i="28"/>
  <c r="AA40" i="28"/>
  <c r="Z40" i="28"/>
  <c r="S40" i="28"/>
  <c r="K40" i="28"/>
  <c r="C40" i="28"/>
  <c r="AC39" i="28"/>
  <c r="AA39" i="28"/>
  <c r="Z39" i="28"/>
  <c r="S39" i="28"/>
  <c r="K39" i="28"/>
  <c r="C39" i="28"/>
  <c r="AC38" i="28"/>
  <c r="AA38" i="28"/>
  <c r="Z38" i="28"/>
  <c r="S38" i="28"/>
  <c r="K38" i="28"/>
  <c r="C38" i="28"/>
  <c r="AC37" i="28"/>
  <c r="AA37" i="28"/>
  <c r="Z37" i="28"/>
  <c r="S37" i="28"/>
  <c r="K37" i="28"/>
  <c r="C37" i="28"/>
  <c r="AC36" i="28"/>
  <c r="AA36" i="28"/>
  <c r="Z36" i="28"/>
  <c r="S36" i="28"/>
  <c r="K36" i="28"/>
  <c r="C36" i="28"/>
  <c r="AC35" i="28"/>
  <c r="AA35" i="28"/>
  <c r="Z35" i="28"/>
  <c r="S35" i="28"/>
  <c r="K35" i="28"/>
  <c r="C35" i="28"/>
  <c r="AC34" i="28"/>
  <c r="AA34" i="28"/>
  <c r="Z34" i="28"/>
  <c r="S34" i="28"/>
  <c r="K34" i="28"/>
  <c r="C34" i="28"/>
  <c r="AC33" i="28"/>
  <c r="AA33" i="28"/>
  <c r="Z33" i="28"/>
  <c r="S33" i="28"/>
  <c r="K33" i="28"/>
  <c r="C33" i="28"/>
  <c r="AC32" i="28"/>
  <c r="AA32" i="28"/>
  <c r="Z32" i="28"/>
  <c r="S32" i="28"/>
  <c r="K32" i="28"/>
  <c r="C32" i="28"/>
  <c r="AC31" i="28"/>
  <c r="AA31" i="28"/>
  <c r="Z31" i="28"/>
  <c r="S31" i="28"/>
  <c r="K31" i="28"/>
  <c r="C31" i="28"/>
  <c r="AC30" i="28"/>
  <c r="AA30" i="28"/>
  <c r="Z30" i="28"/>
  <c r="S30" i="28"/>
  <c r="K30" i="28"/>
  <c r="C30" i="28"/>
  <c r="AC29" i="28"/>
  <c r="AA29" i="28"/>
  <c r="Z29" i="28"/>
  <c r="S29" i="28"/>
  <c r="K29" i="28"/>
  <c r="C29" i="28"/>
  <c r="AC28" i="28"/>
  <c r="AA28" i="28"/>
  <c r="Z28" i="28"/>
  <c r="S28" i="28"/>
  <c r="K28" i="28"/>
  <c r="C28" i="28"/>
  <c r="S24" i="28"/>
  <c r="T24" i="28" s="1"/>
  <c r="K24" i="28"/>
  <c r="L24" i="28" s="1"/>
  <c r="C24" i="28"/>
  <c r="D24" i="28" s="1"/>
  <c r="F45" i="24"/>
  <c r="F44" i="24"/>
  <c r="F43" i="24"/>
  <c r="E43" i="24" s="1"/>
  <c r="J39" i="24"/>
  <c r="F38" i="24"/>
  <c r="J37" i="24"/>
  <c r="J36" i="24" s="1"/>
  <c r="I36" i="24" s="1"/>
  <c r="F37" i="24"/>
  <c r="F35" i="24" s="1"/>
  <c r="E35" i="24" s="1"/>
  <c r="E27" i="24" s="1"/>
  <c r="F27" i="24" s="1"/>
  <c r="J31" i="24"/>
  <c r="F31" i="24"/>
  <c r="J30" i="24"/>
  <c r="F30" i="24"/>
  <c r="J29" i="24"/>
  <c r="J22" i="24"/>
  <c r="F22" i="24"/>
  <c r="J21" i="24"/>
  <c r="F21" i="24"/>
  <c r="J20" i="24"/>
  <c r="F19" i="24"/>
  <c r="BF25" i="22"/>
  <c r="BE25" i="22"/>
  <c r="BD25" i="22"/>
  <c r="BC25" i="22"/>
  <c r="BB25" i="22"/>
  <c r="BA25" i="22"/>
  <c r="AZ25" i="22"/>
  <c r="AY25" i="22"/>
  <c r="AX25" i="22"/>
  <c r="AW25" i="22"/>
  <c r="AV25" i="22"/>
  <c r="AU25" i="22"/>
  <c r="AT25" i="22"/>
  <c r="AS25" i="22"/>
  <c r="AR25" i="22"/>
  <c r="AQ25" i="22"/>
  <c r="AP25" i="22"/>
  <c r="AO25" i="22"/>
  <c r="AN25" i="22"/>
  <c r="AM25" i="22"/>
  <c r="AL25" i="22"/>
  <c r="AK25" i="22"/>
  <c r="AJ25" i="22"/>
  <c r="AI25" i="22"/>
  <c r="AH25" i="22"/>
  <c r="AG25" i="22"/>
  <c r="AF25" i="22"/>
  <c r="AE25" i="22"/>
  <c r="AD25" i="22"/>
  <c r="AC25" i="22"/>
  <c r="AB25" i="22"/>
  <c r="AA25" i="22"/>
  <c r="Z25" i="22"/>
  <c r="Y25" i="22"/>
  <c r="X25" i="22"/>
  <c r="W25" i="22"/>
  <c r="V25" i="22"/>
  <c r="U25" i="22"/>
  <c r="T25" i="22"/>
  <c r="S25" i="22"/>
  <c r="R25" i="22"/>
  <c r="Q25" i="22"/>
  <c r="P25" i="22"/>
  <c r="O25" i="22"/>
  <c r="N25" i="22"/>
  <c r="M25" i="22"/>
  <c r="L25" i="22"/>
  <c r="K25" i="22"/>
  <c r="BF24" i="22"/>
  <c r="BE24" i="22"/>
  <c r="BD24" i="22"/>
  <c r="BC24" i="22"/>
  <c r="BB24" i="22"/>
  <c r="BA24" i="22"/>
  <c r="AZ24" i="22"/>
  <c r="AY24" i="22"/>
  <c r="AX24" i="22"/>
  <c r="AW24" i="22"/>
  <c r="AV24" i="22"/>
  <c r="AU24" i="22"/>
  <c r="AT24" i="22"/>
  <c r="AS24" i="22"/>
  <c r="AR24" i="22"/>
  <c r="AQ24" i="22"/>
  <c r="AP24" i="22"/>
  <c r="AO24" i="22"/>
  <c r="AN24" i="22"/>
  <c r="AM24" i="22"/>
  <c r="AL24" i="22"/>
  <c r="AK24" i="22"/>
  <c r="AJ24" i="22"/>
  <c r="AI24" i="22"/>
  <c r="AH24" i="22"/>
  <c r="AG24" i="22"/>
  <c r="AF24" i="22"/>
  <c r="AE24" i="22"/>
  <c r="AD24" i="22"/>
  <c r="AC24" i="22"/>
  <c r="AB24" i="22"/>
  <c r="AA24" i="22"/>
  <c r="Z24" i="22"/>
  <c r="Y24" i="22"/>
  <c r="X24" i="22"/>
  <c r="W24" i="22"/>
  <c r="V24" i="22"/>
  <c r="U24" i="22"/>
  <c r="T24" i="22"/>
  <c r="S24" i="22"/>
  <c r="R24" i="22"/>
  <c r="Q24" i="22"/>
  <c r="P24" i="22"/>
  <c r="O24" i="22"/>
  <c r="N24" i="22"/>
  <c r="M24" i="22"/>
  <c r="L24" i="22"/>
  <c r="K24" i="22"/>
  <c r="J35" i="20"/>
  <c r="H35" i="20"/>
  <c r="G35" i="20"/>
  <c r="I35" i="20" s="1"/>
  <c r="F35" i="20"/>
  <c r="D35" i="20"/>
  <c r="J29" i="20"/>
  <c r="I29" i="20"/>
  <c r="H29" i="20"/>
  <c r="G29" i="20"/>
  <c r="F29" i="20"/>
  <c r="D29" i="20"/>
  <c r="J23" i="20"/>
  <c r="H23" i="20"/>
  <c r="G23" i="20"/>
  <c r="I23" i="20" s="1"/>
  <c r="F23" i="20"/>
  <c r="D23" i="20"/>
  <c r="J17" i="20"/>
  <c r="I17" i="20"/>
  <c r="H17" i="20"/>
  <c r="F17" i="20"/>
  <c r="D17" i="20"/>
  <c r="J11" i="20"/>
  <c r="I11" i="20"/>
  <c r="H11" i="20"/>
  <c r="F11" i="20"/>
  <c r="D11" i="20"/>
  <c r="J5" i="20"/>
  <c r="I5" i="20"/>
  <c r="H5" i="20"/>
  <c r="F5" i="20"/>
  <c r="D5" i="20"/>
  <c r="M16" i="19"/>
  <c r="J16" i="19"/>
  <c r="I16" i="19"/>
  <c r="L16" i="19" s="1"/>
  <c r="H16" i="19"/>
  <c r="K16" i="19" s="1"/>
  <c r="G16" i="19"/>
  <c r="E16" i="19"/>
  <c r="C16" i="19"/>
  <c r="M10" i="19"/>
  <c r="J10" i="19"/>
  <c r="I10" i="19"/>
  <c r="L10" i="19" s="1"/>
  <c r="H10" i="19"/>
  <c r="K10" i="19" s="1"/>
  <c r="G10" i="19"/>
  <c r="E10" i="19"/>
  <c r="C10" i="19"/>
  <c r="M4" i="19"/>
  <c r="J4" i="19"/>
  <c r="I4" i="19"/>
  <c r="L4" i="19" s="1"/>
  <c r="H4" i="19"/>
  <c r="K4" i="19" s="1"/>
  <c r="G4" i="19"/>
  <c r="E4" i="19"/>
  <c r="C4" i="19"/>
  <c r="K10" i="17"/>
  <c r="J10" i="17"/>
  <c r="H10" i="17"/>
  <c r="K4" i="17"/>
  <c r="J4" i="17"/>
  <c r="H4" i="17"/>
  <c r="K10" i="16"/>
  <c r="J10" i="16"/>
  <c r="H10" i="16"/>
  <c r="K4" i="16"/>
  <c r="J4" i="16"/>
  <c r="H4" i="16"/>
  <c r="K10" i="15"/>
  <c r="J10" i="15"/>
  <c r="H10" i="15"/>
  <c r="K4" i="15"/>
  <c r="J4" i="15"/>
  <c r="H4" i="15"/>
  <c r="K10" i="14"/>
  <c r="J10" i="14"/>
  <c r="H10" i="14"/>
  <c r="K4" i="14"/>
  <c r="J4" i="14"/>
  <c r="H4" i="14"/>
  <c r="K10" i="13"/>
  <c r="J10" i="13"/>
  <c r="H10" i="13"/>
  <c r="K4" i="13"/>
  <c r="J4" i="13"/>
  <c r="H4" i="13"/>
  <c r="K10" i="12"/>
  <c r="J10" i="12"/>
  <c r="H10" i="12"/>
  <c r="K4" i="12"/>
  <c r="J4" i="12"/>
  <c r="H4" i="12"/>
  <c r="K10" i="11"/>
  <c r="J10" i="11"/>
  <c r="H10" i="11"/>
  <c r="K4" i="11"/>
  <c r="J4" i="11"/>
  <c r="H4" i="11"/>
  <c r="K10" i="10"/>
  <c r="J10" i="10"/>
  <c r="H10" i="10"/>
  <c r="K4" i="10"/>
  <c r="J4" i="10"/>
  <c r="H4" i="10"/>
  <c r="K10" i="9"/>
  <c r="J10" i="9"/>
  <c r="H10" i="9"/>
  <c r="K4" i="9"/>
  <c r="J4" i="9"/>
  <c r="H4" i="9"/>
  <c r="K10" i="8"/>
  <c r="J10" i="8"/>
  <c r="H10" i="8"/>
  <c r="K4" i="8"/>
  <c r="J4" i="8"/>
  <c r="H4" i="8"/>
  <c r="I28" i="7"/>
  <c r="H28" i="7"/>
  <c r="G28" i="7"/>
  <c r="D28" i="7"/>
  <c r="C28" i="7"/>
  <c r="H22" i="7"/>
  <c r="I22" i="7" s="1"/>
  <c r="G22" i="7"/>
  <c r="E22" i="7"/>
  <c r="D22" i="7"/>
  <c r="C22" i="7"/>
  <c r="H16" i="7"/>
  <c r="I16" i="7" s="1"/>
  <c r="G16" i="7"/>
  <c r="D16" i="7"/>
  <c r="C16" i="7"/>
  <c r="I10" i="7"/>
  <c r="H10" i="7"/>
  <c r="G10" i="7"/>
  <c r="E10" i="7"/>
  <c r="D10" i="7"/>
  <c r="C10" i="7"/>
  <c r="K4" i="7"/>
  <c r="J4" i="7"/>
  <c r="I4" i="7"/>
  <c r="G4" i="7"/>
  <c r="E4" i="7"/>
  <c r="D4" i="7"/>
  <c r="H28" i="6"/>
  <c r="I28" i="6" s="1"/>
  <c r="G28" i="6"/>
  <c r="D28" i="6"/>
  <c r="C28" i="6"/>
  <c r="H22" i="6"/>
  <c r="I22" i="6" s="1"/>
  <c r="G22" i="6"/>
  <c r="E22" i="6"/>
  <c r="D22" i="6"/>
  <c r="C22" i="6"/>
  <c r="H16" i="6"/>
  <c r="I16" i="6" s="1"/>
  <c r="G16" i="6"/>
  <c r="D16" i="6"/>
  <c r="C16" i="6"/>
  <c r="H10" i="6"/>
  <c r="I10" i="6" s="1"/>
  <c r="G10" i="6"/>
  <c r="E10" i="6"/>
  <c r="D10" i="6"/>
  <c r="C10" i="6"/>
  <c r="K4" i="6"/>
  <c r="J4" i="6"/>
  <c r="I4" i="6"/>
  <c r="G4" i="6"/>
  <c r="D4" i="6"/>
  <c r="E4" i="6" s="1"/>
  <c r="H28" i="5"/>
  <c r="I28" i="5" s="1"/>
  <c r="G28" i="5"/>
  <c r="D28" i="5"/>
  <c r="C28" i="5"/>
  <c r="I22" i="5"/>
  <c r="H22" i="5"/>
  <c r="G22" i="5"/>
  <c r="E22" i="5"/>
  <c r="D22" i="5"/>
  <c r="C22" i="5"/>
  <c r="I16" i="5"/>
  <c r="H16" i="5"/>
  <c r="G16" i="5"/>
  <c r="D16" i="5"/>
  <c r="C16" i="5"/>
  <c r="H10" i="5"/>
  <c r="I10" i="5" s="1"/>
  <c r="G10" i="5"/>
  <c r="E10" i="5"/>
  <c r="D10" i="5"/>
  <c r="C10" i="5"/>
  <c r="K4" i="5"/>
  <c r="J4" i="5"/>
  <c r="I4" i="5"/>
  <c r="G4" i="5"/>
  <c r="D4" i="5"/>
  <c r="E4" i="5" s="1"/>
  <c r="H28" i="4"/>
  <c r="G28" i="4"/>
  <c r="E28" i="4"/>
  <c r="H22" i="4"/>
  <c r="G22" i="4"/>
  <c r="E22" i="4"/>
  <c r="G16" i="4"/>
  <c r="F16" i="4"/>
  <c r="D16" i="4"/>
  <c r="G10" i="4"/>
  <c r="F10" i="4"/>
  <c r="D10" i="4"/>
  <c r="N4" i="4"/>
  <c r="L4" i="4"/>
  <c r="K4" i="4"/>
  <c r="J4" i="4"/>
  <c r="M4" i="4" s="1"/>
  <c r="I4" i="4"/>
  <c r="G4" i="4"/>
  <c r="E4" i="4"/>
  <c r="H22" i="3"/>
  <c r="G22" i="3"/>
  <c r="E22" i="3"/>
  <c r="H16" i="3"/>
  <c r="G16" i="3"/>
  <c r="E16" i="3"/>
  <c r="Q10" i="3"/>
  <c r="P10" i="3"/>
  <c r="O10" i="3"/>
  <c r="N10" i="3"/>
  <c r="M10" i="3"/>
  <c r="L10" i="3"/>
  <c r="J10" i="3"/>
  <c r="H10" i="3"/>
  <c r="F10" i="3"/>
  <c r="Q4" i="3"/>
  <c r="P4" i="3"/>
  <c r="O4" i="3"/>
  <c r="N4" i="3"/>
  <c r="J4" i="3"/>
  <c r="H4" i="3"/>
  <c r="F4" i="3"/>
  <c r="H22" i="2"/>
  <c r="G22" i="2"/>
  <c r="E22" i="2"/>
  <c r="H16" i="2"/>
  <c r="G16" i="2"/>
  <c r="E16" i="2"/>
  <c r="Q10" i="2"/>
  <c r="P10" i="2"/>
  <c r="O10" i="2"/>
  <c r="N10" i="2"/>
  <c r="M10" i="2"/>
  <c r="L10" i="2"/>
  <c r="J10" i="2"/>
  <c r="H10" i="2"/>
  <c r="F10" i="2"/>
  <c r="Q4" i="2"/>
  <c r="P4" i="2"/>
  <c r="N4" i="2"/>
  <c r="M4" i="2"/>
  <c r="K4" i="2"/>
  <c r="O4" i="2" s="1"/>
  <c r="J4" i="2"/>
  <c r="H4" i="2"/>
  <c r="F4" i="2"/>
  <c r="B11" i="1"/>
  <c r="C11" i="1" s="1"/>
  <c r="C10" i="1"/>
  <c r="M7" i="31" l="1"/>
  <c r="J7" i="31" s="1"/>
  <c r="K7" i="31" s="1"/>
  <c r="M14" i="31"/>
  <c r="J14" i="31" s="1"/>
  <c r="K14" i="31" s="1"/>
  <c r="M25" i="31"/>
  <c r="J25" i="31" s="1"/>
  <c r="K25" i="31" s="1"/>
  <c r="M35" i="31"/>
  <c r="J35" i="31" s="1"/>
  <c r="K35" i="31" s="1"/>
  <c r="M49" i="31"/>
  <c r="J49" i="31" s="1"/>
  <c r="K49" i="31" s="1"/>
  <c r="M6" i="31"/>
  <c r="J6" i="31" s="1"/>
  <c r="K6" i="31" s="1"/>
  <c r="M24" i="31"/>
  <c r="J24" i="31" s="1"/>
  <c r="K24" i="31" s="1"/>
  <c r="M33" i="31"/>
  <c r="J33" i="31" s="1"/>
  <c r="K33" i="31" s="1"/>
  <c r="M46" i="31"/>
  <c r="J46" i="31" s="1"/>
  <c r="K46" i="31" s="1"/>
  <c r="M38" i="31"/>
  <c r="J38" i="31" s="1"/>
  <c r="K38" i="31" s="1"/>
  <c r="M3" i="31"/>
  <c r="J3" i="31" s="1"/>
  <c r="K3" i="31" s="1"/>
  <c r="M10" i="31"/>
  <c r="J10" i="31" s="1"/>
  <c r="K10" i="31" s="1"/>
  <c r="M21" i="31"/>
  <c r="J21" i="31" s="1"/>
  <c r="K21" i="31" s="1"/>
  <c r="M31" i="31"/>
  <c r="J31" i="31" s="1"/>
  <c r="K31" i="31" s="1"/>
  <c r="M8" i="31"/>
  <c r="M17" i="31"/>
  <c r="J17" i="31" s="1"/>
  <c r="K17" i="31" s="1"/>
  <c r="M29" i="31"/>
  <c r="J29" i="31" s="1"/>
  <c r="K29" i="31" s="1"/>
  <c r="M39" i="31"/>
  <c r="J39" i="31" s="1"/>
  <c r="K39" i="31" s="1"/>
  <c r="M52" i="31"/>
  <c r="J52" i="31" s="1"/>
  <c r="K52" i="31" s="1"/>
  <c r="M13" i="31"/>
  <c r="J13" i="31" s="1"/>
  <c r="K13" i="31" s="1"/>
  <c r="M28" i="31"/>
  <c r="J28" i="31" s="1"/>
  <c r="K28" i="31" s="1"/>
  <c r="M51" i="31"/>
  <c r="J51" i="31" s="1"/>
  <c r="K51" i="31" s="1"/>
  <c r="M4" i="31"/>
  <c r="J4" i="31" s="1"/>
  <c r="K4" i="31" s="1"/>
  <c r="M12" i="31"/>
  <c r="J12" i="31" s="1"/>
  <c r="K12" i="31" s="1"/>
  <c r="M22" i="31"/>
  <c r="J22" i="31" s="1"/>
  <c r="K22" i="31" s="1"/>
  <c r="M32" i="31"/>
  <c r="J32" i="31" s="1"/>
  <c r="K32" i="31" s="1"/>
  <c r="M45" i="31"/>
  <c r="J45" i="31" s="1"/>
  <c r="K45" i="31" s="1"/>
  <c r="M16" i="31"/>
  <c r="J16" i="31" s="1"/>
  <c r="K16" i="31" s="1"/>
  <c r="M42" i="31"/>
  <c r="J42" i="31" s="1"/>
  <c r="K42" i="31" s="1"/>
  <c r="M15" i="31"/>
  <c r="J15" i="31" s="1"/>
  <c r="K15" i="31" s="1"/>
  <c r="M27" i="31"/>
  <c r="J27" i="31" s="1"/>
  <c r="K27" i="31" s="1"/>
  <c r="M36" i="31"/>
  <c r="J36" i="31" s="1"/>
  <c r="K36" i="31" s="1"/>
  <c r="M50" i="31"/>
  <c r="J50" i="31" s="1"/>
  <c r="K50" i="31" s="1"/>
  <c r="M9" i="31"/>
  <c r="J9" i="31" s="1"/>
  <c r="K9" i="31" s="1"/>
  <c r="M18" i="31"/>
  <c r="J18" i="31" s="1"/>
  <c r="K18" i="31" s="1"/>
  <c r="M30" i="31"/>
  <c r="J30" i="31" s="1"/>
  <c r="K30" i="31" s="1"/>
  <c r="M41" i="31"/>
  <c r="J41" i="31" s="1"/>
  <c r="K41" i="31" s="1"/>
  <c r="P54" i="30"/>
  <c r="G54" i="30"/>
  <c r="Y54" i="30"/>
  <c r="I28" i="24"/>
  <c r="J28" i="24" s="1"/>
  <c r="J26" i="24" s="1"/>
  <c r="I26" i="24" s="1"/>
  <c r="I18" i="24" s="1"/>
  <c r="J18" i="24" s="1"/>
  <c r="J16" i="24" s="1"/>
  <c r="I16" i="24" s="1"/>
  <c r="E28" i="24"/>
  <c r="F28" i="24" s="1"/>
  <c r="F25" i="24" s="1"/>
  <c r="E25" i="24" s="1"/>
  <c r="E17" i="24" s="1"/>
  <c r="F17" i="24" s="1"/>
  <c r="F15" i="24" s="1"/>
  <c r="E15" i="24" s="1"/>
</calcChain>
</file>

<file path=xl/sharedStrings.xml><?xml version="1.0" encoding="utf-8"?>
<sst xmlns="http://schemas.openxmlformats.org/spreadsheetml/2006/main" count="4178" uniqueCount="495">
  <si>
    <t>&lt;Nom&gt;</t>
  </si>
  <si>
    <t>Account</t>
  </si>
  <si>
    <t>/Fin/</t>
  </si>
  <si>
    <t>&lt;Process&gt;</t>
  </si>
  <si>
    <t>résultat courant</t>
  </si>
  <si>
    <t>cumulative result</t>
  </si>
  <si>
    <t>emprunt 0,4% par semaine</t>
  </si>
  <si>
    <t>&lt;Periode_Debut&gt;</t>
  </si>
  <si>
    <t>&lt;Periode_Prolongement&gt;</t>
  </si>
  <si>
    <t>&lt;Source&gt;</t>
  </si>
  <si>
    <t>&lt;Etat des lieux&gt;</t>
  </si>
  <si>
    <t>&lt;Minimal&gt;</t>
  </si>
  <si>
    <t>&lt;Maximal&gt;</t>
  </si>
  <si>
    <t>cumulative CO2</t>
  </si>
  <si>
    <t>Arnhem factory</t>
  </si>
  <si>
    <t>Période</t>
  </si>
  <si>
    <t>nectar (pallet)</t>
  </si>
  <si>
    <t>nectar (vat)</t>
  </si>
  <si>
    <t>pack (batch)</t>
  </si>
  <si>
    <t>Time not used</t>
  </si>
  <si>
    <t>production cost (wages excluded)</t>
  </si>
  <si>
    <t>CO2 production</t>
  </si>
  <si>
    <t>cost of nectar pallets storage</t>
  </si>
  <si>
    <t>cost of nectar vats storage</t>
  </si>
  <si>
    <t>pack storage cost</t>
  </si>
  <si>
    <t>Nectar packaging</t>
  </si>
  <si>
    <t>concentrate (bin)</t>
  </si>
  <si>
    <t>puree (bin)</t>
  </si>
  <si>
    <t>concentrate storage cost</t>
  </si>
  <si>
    <t>puree storage cost</t>
  </si>
  <si>
    <t>Nectar production</t>
  </si>
  <si>
    <t>staff</t>
  </si>
  <si>
    <t>Hiring cost</t>
  </si>
  <si>
    <t>wages cost</t>
  </si>
  <si>
    <t>Hiring</t>
  </si>
  <si>
    <t>Laying-off cost</t>
  </si>
  <si>
    <t>Laying-off</t>
  </si>
  <si>
    <t>cordial (pallet)</t>
  </si>
  <si>
    <t>cost of cordial pallets storage</t>
  </si>
  <si>
    <t>Vesoul factory</t>
  </si>
  <si>
    <t>cordial (vat)</t>
  </si>
  <si>
    <t>bottle (batch)</t>
  </si>
  <si>
    <t>cost of cordial vats storage</t>
  </si>
  <si>
    <t>bottles storage cost</t>
  </si>
  <si>
    <t>Cordial packaging</t>
  </si>
  <si>
    <t>sugar (tonne)</t>
  </si>
  <si>
    <t>sugar storage cost</t>
  </si>
  <si>
    <t>Cordial production</t>
  </si>
  <si>
    <t>Auckland factory</t>
  </si>
  <si>
    <t>Purchasing and pression of kiwis</t>
  </si>
  <si>
    <t>Puree sale</t>
  </si>
  <si>
    <t>Concentrate sale</t>
  </si>
  <si>
    <t>Lorry 1</t>
  </si>
  <si>
    <t>distance (km)</t>
  </si>
  <si>
    <t>transport cost</t>
  </si>
  <si>
    <t>driving</t>
  </si>
  <si>
    <t>volume (pallet)</t>
  </si>
  <si>
    <t>weight (tonne)</t>
  </si>
  <si>
    <t>nectar loading</t>
  </si>
  <si>
    <t>?</t>
  </si>
  <si>
    <t>cordial loading</t>
  </si>
  <si>
    <t>nectar unloading</t>
  </si>
  <si>
    <t>cordial unloading</t>
  </si>
  <si>
    <t>Lorry 2</t>
  </si>
  <si>
    <t>Lorry 3</t>
  </si>
  <si>
    <t>Paris</t>
  </si>
  <si>
    <t>nectar needs (pallet)</t>
  </si>
  <si>
    <t>nectar sales (pallet)</t>
  </si>
  <si>
    <t>nectar turnover</t>
  </si>
  <si>
    <t>Demand of nectar</t>
  </si>
  <si>
    <t>cordial needs (pallet)</t>
  </si>
  <si>
    <t>cordial sales (pallet)</t>
  </si>
  <si>
    <t>cordial turnover</t>
  </si>
  <si>
    <t>Demand of cordial</t>
  </si>
  <si>
    <t>Rauma</t>
  </si>
  <si>
    <t>Madrid</t>
  </si>
  <si>
    <t>Milan</t>
  </si>
  <si>
    <t>Rome</t>
  </si>
  <si>
    <t>Bucharest</t>
  </si>
  <si>
    <t>Budapest</t>
  </si>
  <si>
    <t>Kemijarvi</t>
  </si>
  <si>
    <t>Warsaw</t>
  </si>
  <si>
    <t>Berlin</t>
  </si>
  <si>
    <t>Nom</t>
  </si>
  <si>
    <t>Feuille</t>
  </si>
  <si>
    <t>Auckland</t>
  </si>
  <si>
    <t>Intercontinental transport</t>
  </si>
  <si>
    <t>Intercontinental_transport</t>
  </si>
  <si>
    <t>Purchasing</t>
  </si>
  <si>
    <t>Arnhem</t>
  </si>
  <si>
    <t>Vesoul</t>
  </si>
  <si>
    <t>Lorry1</t>
  </si>
  <si>
    <t>Lorry2</t>
  </si>
  <si>
    <t>Lorry3</t>
  </si>
  <si>
    <t>Wharehouse1</t>
  </si>
  <si>
    <t>Wharehouse2</t>
  </si>
  <si>
    <t>Wharehouse3</t>
  </si>
  <si>
    <t>Wharehouse4</t>
  </si>
  <si>
    <t>Wharehouse5</t>
  </si>
  <si>
    <t>Wharehouse6</t>
  </si>
  <si>
    <t>Wharehouse7</t>
  </si>
  <si>
    <t>Wharehouse8</t>
  </si>
  <si>
    <t>Wharehouse9</t>
  </si>
  <si>
    <t>Wharehouse10</t>
  </si>
  <si>
    <t>Intercontinental transport cost</t>
  </si>
  <si>
    <t>Puree transport to Arnhem</t>
  </si>
  <si>
    <t>Concentrate transport to Arnhem</t>
  </si>
  <si>
    <t>Concentrate transport to Vesoul</t>
  </si>
  <si>
    <t>Puree Purchasing cost</t>
  </si>
  <si>
    <t>CO2 from puree purchasing</t>
  </si>
  <si>
    <t>Puree Purchasing</t>
  </si>
  <si>
    <t>concentrate Purchasing cost</t>
  </si>
  <si>
    <t>CO2 from concentrate purchasing</t>
  </si>
  <si>
    <t>Concentrate Purchasing for Arnhem</t>
  </si>
  <si>
    <t>Concentrate Purchasing for Vesoul</t>
  </si>
  <si>
    <t>Pack Purchasing cost</t>
  </si>
  <si>
    <t>CO2 from pack purchasing</t>
  </si>
  <si>
    <t>Pack Purchasing</t>
  </si>
  <si>
    <t>bottles Purchasing cost</t>
  </si>
  <si>
    <t>CO2 from bottle purchasing</t>
  </si>
  <si>
    <t>Bottle Purchasing</t>
  </si>
  <si>
    <t>Sugar Purchasing cost</t>
  </si>
  <si>
    <t>CO2 from sugar purchasing</t>
  </si>
  <si>
    <t>Sugar Purchasing</t>
  </si>
  <si>
    <t>Coeff. Dir.</t>
  </si>
  <si>
    <t>Constante</t>
  </si>
  <si>
    <t>Fréquence</t>
  </si>
  <si>
    <t>Amplitude</t>
  </si>
  <si>
    <t>Décalage</t>
  </si>
  <si>
    <t>Ecart-type</t>
  </si>
  <si>
    <t>Prix</t>
  </si>
  <si>
    <t>a</t>
  </si>
  <si>
    <t>b</t>
  </si>
  <si>
    <t>f</t>
  </si>
  <si>
    <t>k</t>
  </si>
  <si>
    <t>d</t>
  </si>
  <si>
    <t>s</t>
  </si>
  <si>
    <t>Wharehouse 1</t>
  </si>
  <si>
    <t>Nectar</t>
  </si>
  <si>
    <t>=MAX(ARRONDI(($D4*K$2+$E4)*(1+$G4*SIN($F4*2*PI()/12*(K$2-$H4)))+($I4*LOI.NORMALE.STANDARD.INVERSE(ALEA()));0);0)</t>
  </si>
  <si>
    <t>MAX(ARRONDI((a*t+b)*(1+k*SIN(f*2*PI()/12*(t-d)))+(s*LOI.NORMALE.STANDARD.INVERSE(ALEA()));0);0)</t>
  </si>
  <si>
    <t>Cordial</t>
  </si>
  <si>
    <t>Wharehouse 2</t>
  </si>
  <si>
    <t>Wharehouse 3</t>
  </si>
  <si>
    <t>Wharehouse 4</t>
  </si>
  <si>
    <t>Wharehouse 5</t>
  </si>
  <si>
    <t>Wharehouse 6</t>
  </si>
  <si>
    <t>Wharehouse 7</t>
  </si>
  <si>
    <t>Wharehouse 8</t>
  </si>
  <si>
    <t>Wharehouse 9</t>
  </si>
  <si>
    <t>Wharehouse 10</t>
  </si>
  <si>
    <t>nectar</t>
  </si>
  <si>
    <t>cordial</t>
  </si>
  <si>
    <t>Total nectar</t>
  </si>
  <si>
    <t>Total cordial</t>
  </si>
  <si>
    <t>Prix de vente</t>
  </si>
  <si>
    <t>janv</t>
  </si>
  <si>
    <t>févr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</si>
  <si>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</si>
  <si>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</si>
  <si>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</si>
  <si>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</si>
  <si>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</si>
  <si>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</si>
  <si>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</si>
  <si>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</si>
  <si>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</si>
  <si>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</si>
  <si>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CD1</t>
  </si>
  <si>
    <t>CD2</t>
  </si>
  <si>
    <t>Usine1</t>
  </si>
  <si>
    <t>Usine2</t>
  </si>
  <si>
    <t>Usine3</t>
  </si>
  <si>
    <t>Gauche</t>
  </si>
  <si>
    <t>Haut</t>
  </si>
  <si>
    <t>Packaging</t>
  </si>
  <si>
    <t>Quantity</t>
  </si>
  <si>
    <t>Value per unit</t>
  </si>
  <si>
    <t>Total</t>
  </si>
  <si>
    <t>Labour</t>
  </si>
  <si>
    <t>Production</t>
  </si>
  <si>
    <t>Puree after transport (bin)</t>
  </si>
  <si>
    <t>Concentrate after transport (bin)</t>
  </si>
  <si>
    <t>International transport</t>
  </si>
  <si>
    <t>Transport</t>
  </si>
  <si>
    <t>Puree at Auckland (bin)</t>
  </si>
  <si>
    <t>Concentrate at Auckland (bin)</t>
  </si>
  <si>
    <t>Produced puree (4 bins) + produced concentrate (1 bin)</t>
  </si>
  <si>
    <t>Nectar
conditionné
30 palettes</t>
  </si>
  <si>
    <t>Sirop
conditionné
20 palettes</t>
  </si>
  <si>
    <t>x 1 vat</t>
  </si>
  <si>
    <t xml:space="preserve">     1 mois</t>
  </si>
  <si>
    <t>x 1 batch</t>
  </si>
  <si>
    <t>Nectar
1 cuve</t>
  </si>
  <si>
    <t>Pack
disponible</t>
  </si>
  <si>
    <t>Sirop
1 cuve</t>
  </si>
  <si>
    <t>Flacon
disponible</t>
  </si>
  <si>
    <t>x 5 bins</t>
  </si>
  <si>
    <t xml:space="preserve"> x 1 bin</t>
  </si>
  <si>
    <t>x 1 tonne</t>
  </si>
  <si>
    <t xml:space="preserve"> x 4 bins</t>
  </si>
  <si>
    <t>Purée
transportée</t>
  </si>
  <si>
    <t>Concentré
transporté</t>
  </si>
  <si>
    <t>Sucre
disponible</t>
  </si>
  <si>
    <t xml:space="preserve">      2 mois</t>
  </si>
  <si>
    <t xml:space="preserve">      1 mois</t>
  </si>
  <si>
    <t>Purée</t>
  </si>
  <si>
    <t>Concentré</t>
  </si>
  <si>
    <t>Kiwis</t>
  </si>
  <si>
    <t>Pack</t>
  </si>
  <si>
    <t>Sucre</t>
  </si>
  <si>
    <t>Flacon</t>
  </si>
  <si>
    <t>x    cuve</t>
  </si>
  <si>
    <t xml:space="preserve">        mois</t>
  </si>
  <si>
    <t>x    lot</t>
  </si>
  <si>
    <t>x    bins</t>
  </si>
  <si>
    <t xml:space="preserve"> x    bin</t>
  </si>
  <si>
    <t>x    tonne</t>
  </si>
  <si>
    <t xml:space="preserve"> x    bins</t>
  </si>
  <si>
    <t xml:space="preserve">         mois</t>
  </si>
  <si>
    <t>Français</t>
  </si>
  <si>
    <t>Anglais</t>
  </si>
  <si>
    <t>Compte</t>
  </si>
  <si>
    <t>résultat cumulé</t>
  </si>
  <si>
    <t>cordial nectar</t>
  </si>
  <si>
    <t>Penser à à préciser "Classeur" dans le menu édition / remplacer</t>
  </si>
  <si>
    <t>Usine d'Auckland</t>
  </si>
  <si>
    <t>concentré (bin)</t>
  </si>
  <si>
    <t>purée (bin)</t>
  </si>
  <si>
    <t>personnel</t>
  </si>
  <si>
    <t>temps disponible</t>
  </si>
  <si>
    <t>vente de purée</t>
  </si>
  <si>
    <t>vente de concentré</t>
  </si>
  <si>
    <t>coût de production (hors salaire)</t>
  </si>
  <si>
    <t>coût stockage concentré</t>
  </si>
  <si>
    <t>coût stockage purée</t>
  </si>
  <si>
    <t>coût d'embauche</t>
  </si>
  <si>
    <t>coût de licenciement</t>
  </si>
  <si>
    <t>salaire</t>
  </si>
  <si>
    <t>Transport Intercontinental</t>
  </si>
  <si>
    <t>coût de transport Intercontinental</t>
  </si>
  <si>
    <t>Achats</t>
  </si>
  <si>
    <t>coût d'Achat purée</t>
  </si>
  <si>
    <t>coût d'Achat concentré</t>
  </si>
  <si>
    <t>coût d'Achat pack</t>
  </si>
  <si>
    <t>coût d'Achat flacon</t>
  </si>
  <si>
    <t>coût d'Achat sucre</t>
  </si>
  <si>
    <t>Usine d'Arnhem</t>
  </si>
  <si>
    <t>nectar (palette)</t>
  </si>
  <si>
    <t>nectar (cuve)</t>
  </si>
  <si>
    <t>sirop (palette)</t>
  </si>
  <si>
    <t>pack (lot)</t>
  </si>
  <si>
    <t>coût stockage nectar (palette)</t>
  </si>
  <si>
    <t>coût stockage nectar (cuve)</t>
  </si>
  <si>
    <t>coût stockage sirop (palette)</t>
  </si>
  <si>
    <t>coût stockage pack</t>
  </si>
  <si>
    <t>Usine de Vesoul</t>
  </si>
  <si>
    <t>sirop (cuve)</t>
  </si>
  <si>
    <t>sucre (tonne)</t>
  </si>
  <si>
    <t>flacon (lot)</t>
  </si>
  <si>
    <t>coût stockage sirop (cuve)</t>
  </si>
  <si>
    <t>coût stockage sucre</t>
  </si>
  <si>
    <t>coût stockage flacon</t>
  </si>
  <si>
    <t>Camion 1</t>
  </si>
  <si>
    <t>volume (palette)</t>
  </si>
  <si>
    <t>poids (tonne)</t>
  </si>
  <si>
    <t>distance (km) (km)</t>
  </si>
  <si>
    <t>available time</t>
  </si>
  <si>
    <t>Coût de transport kilométrique</t>
  </si>
  <si>
    <t>Camion 2</t>
  </si>
  <si>
    <t>Camion 3</t>
  </si>
  <si>
    <t>recette vente de nectar</t>
  </si>
  <si>
    <t>recette vente de sirop</t>
  </si>
  <si>
    <t>demande nectar</t>
  </si>
  <si>
    <t>demande sirop</t>
  </si>
  <si>
    <t>nectar vendu</t>
  </si>
  <si>
    <t>sirop vendu</t>
  </si>
  <si>
    <t>Bucarest</t>
  </si>
  <si>
    <t>Varsovie</t>
  </si>
  <si>
    <t>Conditionnement du nectar</t>
  </si>
  <si>
    <t>Production de nectar</t>
  </si>
  <si>
    <t>Embauche</t>
  </si>
  <si>
    <t>Licenciement</t>
  </si>
  <si>
    <t>Achat de pack</t>
  </si>
  <si>
    <t>Achat de purée</t>
  </si>
  <si>
    <t>Achat de concentré pour Arnhem</t>
  </si>
  <si>
    <t>Production Europe</t>
  </si>
  <si>
    <t>Europe production</t>
  </si>
  <si>
    <t>Conditionnement du sirop</t>
  </si>
  <si>
    <t>Production de sirop</t>
  </si>
  <si>
    <t>Achat de flacon</t>
  </si>
  <si>
    <t>Achat de sucre</t>
  </si>
  <si>
    <t>Achat de concentré pour Vesoul</t>
  </si>
  <si>
    <t>x 30 palettes</t>
  </si>
  <si>
    <t>x 30 pallets</t>
  </si>
  <si>
    <t>x 20 palettes</t>
  </si>
  <si>
    <t>x 20 pallets</t>
  </si>
  <si>
    <t>x 1 cuve</t>
  </si>
  <si>
    <t>x 1 personne</t>
  </si>
  <si>
    <t>x 1 person</t>
  </si>
  <si>
    <t>x 1 lot</t>
  </si>
  <si>
    <t>Transport de purée vers Arnhem</t>
  </si>
  <si>
    <t>Transport de concentré vers Arnhem</t>
  </si>
  <si>
    <t>Transport de concentré vers Vesoul</t>
  </si>
  <si>
    <t>Production Nouvelle-Zélande</t>
  </si>
  <si>
    <t>New-Zealand production</t>
  </si>
  <si>
    <t>Achat et pression de kiwis</t>
  </si>
  <si>
    <t>Puree sales</t>
  </si>
  <si>
    <t>Concentrate sales</t>
  </si>
  <si>
    <t>x (4 bins de purée + 1 bin de concentré)</t>
  </si>
  <si>
    <t>x (4 bins of puree + 1 bin of concentrate)</t>
  </si>
  <si>
    <t>Camion</t>
  </si>
  <si>
    <t>Lorry</t>
  </si>
  <si>
    <t>Ville</t>
  </si>
  <si>
    <t>Town</t>
  </si>
  <si>
    <t>Charger</t>
  </si>
  <si>
    <t>Loading</t>
  </si>
  <si>
    <t>Décharger</t>
  </si>
  <si>
    <t>Unloading</t>
  </si>
  <si>
    <t>Sirop</t>
  </si>
  <si>
    <t>Equipe</t>
  </si>
  <si>
    <t>Team</t>
  </si>
  <si>
    <t>Purée produite (4 bins) + Concentré produit (1 bin)</t>
  </si>
  <si>
    <t>Main d'œuvre</t>
  </si>
  <si>
    <t>Purée transportée (bin)</t>
  </si>
  <si>
    <t>Concentré transporté (bin)</t>
  </si>
  <si>
    <t>Concentré Auckland (bin)</t>
  </si>
  <si>
    <t>Purée Auckland (bin)</t>
  </si>
  <si>
    <t>Transport international</t>
  </si>
  <si>
    <t>Conditionnement</t>
  </si>
  <si>
    <t>Quantité</t>
  </si>
  <si>
    <t>valeur unitaire</t>
  </si>
  <si>
    <t>IUT Vesoul   Transport - Logistique</t>
  </si>
  <si>
    <t>non</t>
  </si>
  <si>
    <t>Software</t>
  </si>
  <si>
    <t>Game of International Supply chain for Efficient Logistics</t>
  </si>
  <si>
    <t>WIKI Company</t>
  </si>
  <si>
    <t>Period</t>
  </si>
  <si>
    <t>Team03</t>
  </si>
  <si>
    <t>Distribution</t>
  </si>
  <si>
    <t>Camions</t>
  </si>
  <si>
    <t>Villes</t>
  </si>
  <si>
    <t>Rien</t>
  </si>
  <si>
    <t>QUESTIONS POSSIBLES :
Un fichier nommé ‘… decision.xls’ existe déjà à cet emplacement. Voulez-vous le remplacer ?
Répondre OUI
Voulez-vous enregistrer les modifications apportées à ‘decision…xls’ ?
Répondre ENREGISTRER</t>
  </si>
  <si>
    <t>&lt;-- choose a lorry first !</t>
  </si>
  <si>
    <t>Production in Europe</t>
  </si>
  <si>
    <t>x 1 bin</t>
  </si>
  <si>
    <t>Production in New-Zealand</t>
  </si>
  <si>
    <t>Distribution errors :</t>
  </si>
  <si>
    <t>Production errors :</t>
  </si>
  <si>
    <t>End of period 0</t>
  </si>
  <si>
    <t>End of period 1</t>
  </si>
  <si>
    <t>End of period 2</t>
  </si>
  <si>
    <t>End of period 3</t>
  </si>
  <si>
    <t>End of period 4</t>
  </si>
  <si>
    <t>End of period 5</t>
  </si>
  <si>
    <t>End of period 6</t>
  </si>
  <si>
    <t>End of period 7</t>
  </si>
  <si>
    <t>End of period 8</t>
  </si>
  <si>
    <t>End of period 9</t>
  </si>
  <si>
    <t>End of period 10</t>
  </si>
  <si>
    <t>End of period 11</t>
  </si>
  <si>
    <t>End of period 12</t>
  </si>
  <si>
    <t>x</t>
  </si>
  <si>
    <t>Turnover</t>
  </si>
  <si>
    <t>Cost</t>
  </si>
  <si>
    <t>Result</t>
  </si>
  <si>
    <t>CO2 cost</t>
  </si>
  <si>
    <t>D:\</t>
  </si>
  <si>
    <t>Départ</t>
  </si>
  <si>
    <t>Arrivée</t>
  </si>
  <si>
    <t>A</t>
  </si>
  <si>
    <t>B</t>
  </si>
  <si>
    <t>Produit</t>
  </si>
  <si>
    <t>Position x</t>
  </si>
  <si>
    <t>Position y</t>
  </si>
  <si>
    <t>Largeur</t>
  </si>
  <si>
    <t>Hauteur</t>
  </si>
  <si>
    <t>Profondeur</t>
  </si>
  <si>
    <t>N produits par côté</t>
  </si>
  <si>
    <t>N produits par hauteur</t>
  </si>
  <si>
    <t>Quantité début</t>
  </si>
  <si>
    <t>Quantité fin</t>
  </si>
  <si>
    <t>Nom détaillé</t>
  </si>
  <si>
    <t>Dernière colonne bilan :</t>
  </si>
  <si>
    <t>Numéro ligne bilan</t>
  </si>
  <si>
    <t>panneau8</t>
  </si>
  <si>
    <t>panneau_Kemijarvi</t>
  </si>
  <si>
    <t>sirop8</t>
  </si>
  <si>
    <t>cordial (pallet)_Kemijarvi</t>
  </si>
  <si>
    <t>nectar8</t>
  </si>
  <si>
    <t>nectar (pallet)_Kemijarvi</t>
  </si>
  <si>
    <t>panneau9</t>
  </si>
  <si>
    <t>panneau_Warsaw</t>
  </si>
  <si>
    <t>sirop9</t>
  </si>
  <si>
    <t>cordial (pallet)_Warsaw</t>
  </si>
  <si>
    <t>nectar9</t>
  </si>
  <si>
    <t>nectar (pallet)_Warsaw</t>
  </si>
  <si>
    <t>panneau10</t>
  </si>
  <si>
    <t>panneau_Berlin</t>
  </si>
  <si>
    <t>sirop10</t>
  </si>
  <si>
    <t>cordial (pallet)_Berlin</t>
  </si>
  <si>
    <t>nectar10</t>
  </si>
  <si>
    <t>nectar (pallet)_Berlin</t>
  </si>
  <si>
    <t>panneau11</t>
  </si>
  <si>
    <t>panneau_Arnhem factory</t>
  </si>
  <si>
    <t>sirop11</t>
  </si>
  <si>
    <t>cordial (pallet)_Arnhem factory</t>
  </si>
  <si>
    <t>nectar11</t>
  </si>
  <si>
    <t>nectar (pallet)_Arnhem factory</t>
  </si>
  <si>
    <t>cuve_nectar</t>
  </si>
  <si>
    <t>nectar (vat)_Arnhem factory</t>
  </si>
  <si>
    <t>pack_nectar</t>
  </si>
  <si>
    <t>pack (batch)_Arnhem factory</t>
  </si>
  <si>
    <t>bin_puree_Arnhem</t>
  </si>
  <si>
    <t>puree (bin)_Arnhem factory</t>
  </si>
  <si>
    <t>bin_concentre_Arnhem</t>
  </si>
  <si>
    <t>concentrate (bin)_Arnhem factory</t>
  </si>
  <si>
    <t>personne_arnhem</t>
  </si>
  <si>
    <t>staff_Arnhem factory</t>
  </si>
  <si>
    <t>Le Havre</t>
  </si>
  <si>
    <t>panneau_le_havre</t>
  </si>
  <si>
    <t>panneau_Le Havre</t>
  </si>
  <si>
    <t>panneau1</t>
  </si>
  <si>
    <t>panneau_Paris</t>
  </si>
  <si>
    <t>sirop1</t>
  </si>
  <si>
    <t>cordial (pallet)_Paris</t>
  </si>
  <si>
    <t>nectar1</t>
  </si>
  <si>
    <t>nectar (pallet)_Paris</t>
  </si>
  <si>
    <t>panneau12</t>
  </si>
  <si>
    <t>panneau_Vesoul factory</t>
  </si>
  <si>
    <t>sirop12</t>
  </si>
  <si>
    <t>cordial (pallet)_Vesoul factory</t>
  </si>
  <si>
    <t>nectar12</t>
  </si>
  <si>
    <t>nectar (pallet)_Vesoul factory</t>
  </si>
  <si>
    <t>panneau7</t>
  </si>
  <si>
    <t>panneau_Budapest</t>
  </si>
  <si>
    <t>sirop7</t>
  </si>
  <si>
    <t>cordial (pallet)_Budapest</t>
  </si>
  <si>
    <t>nectar7</t>
  </si>
  <si>
    <t>nectar (pallet)_Budapest</t>
  </si>
  <si>
    <t>cuve_sirop</t>
  </si>
  <si>
    <t>cordial (vat)_Vesoul factory</t>
  </si>
  <si>
    <t>bouteille_sirop</t>
  </si>
  <si>
    <t>bottle (batch)_Vesoul factory</t>
  </si>
  <si>
    <t>sucre</t>
  </si>
  <si>
    <t>sugar (tonne)_Vesoul factory</t>
  </si>
  <si>
    <t>bin_concentre_Vesoul</t>
  </si>
  <si>
    <t>concentrate (bin)_Vesoul factory</t>
  </si>
  <si>
    <t>personne_vesoul</t>
  </si>
  <si>
    <t>staff_Vesoul factory</t>
  </si>
  <si>
    <t>panneau2</t>
  </si>
  <si>
    <t>panneau_Rauma</t>
  </si>
  <si>
    <t>sirop2</t>
  </si>
  <si>
    <t>cordial (pallet)_Rauma</t>
  </si>
  <si>
    <t>nectar2</t>
  </si>
  <si>
    <t>nectar (pallet)_Rauma</t>
  </si>
  <si>
    <t>panneau6</t>
  </si>
  <si>
    <t>panneau_Bucharest</t>
  </si>
  <si>
    <t>sirop6</t>
  </si>
  <si>
    <t>cordial (pallet)_Bucharest</t>
  </si>
  <si>
    <t>nectar6</t>
  </si>
  <si>
    <t>nectar (pallet)_Bucharest</t>
  </si>
  <si>
    <t>panneau4</t>
  </si>
  <si>
    <t>panneau_Milan</t>
  </si>
  <si>
    <t>sirop4</t>
  </si>
  <si>
    <t>cordial (pallet)_Milan</t>
  </si>
  <si>
    <t>nectar4</t>
  </si>
  <si>
    <t>nectar (pallet)_Milan</t>
  </si>
  <si>
    <t>Atlantique</t>
  </si>
  <si>
    <t>panneau_atlantique</t>
  </si>
  <si>
    <t>panneau_Atlantique</t>
  </si>
  <si>
    <t>panneau5</t>
  </si>
  <si>
    <t>panneau_Rome</t>
  </si>
  <si>
    <t>sirop5</t>
  </si>
  <si>
    <t>cordial (pallet)_Rome</t>
  </si>
  <si>
    <t>nectar5</t>
  </si>
  <si>
    <t>nectar (pallet)_Rome</t>
  </si>
  <si>
    <t>panneau3</t>
  </si>
  <si>
    <t>panneau_Madrid</t>
  </si>
  <si>
    <t>panneau13</t>
  </si>
  <si>
    <t>panneau_Auckland</t>
  </si>
  <si>
    <t>bin_puree_Auckland</t>
  </si>
  <si>
    <t>puree (bin)_Auckland factory</t>
  </si>
  <si>
    <t>bin_concentre_Auckland</t>
  </si>
  <si>
    <t>concentrate (bin)_Auckland factory</t>
  </si>
  <si>
    <t>sirop3</t>
  </si>
  <si>
    <t>cordial (pallet)_Madrid</t>
  </si>
  <si>
    <t>nectar3</t>
  </si>
  <si>
    <t>nectar (pallet)_Madrid</t>
  </si>
  <si>
    <t>personne_auckland</t>
  </si>
  <si>
    <t>staff_Auckland factory</t>
  </si>
  <si>
    <t>Pacifique</t>
  </si>
  <si>
    <t>panneau_pacifique</t>
  </si>
  <si>
    <t>panneau_Pacifique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</si>
</sst>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&quot;€&quot;"/>
    <numFmt numFmtId="165" formatCode="0.0&quot; kg&quot;"/>
    <numFmt numFmtId="166" formatCode="0.00&quot; h&quot;"/>
    <numFmt numFmtId="167" formatCode="[$-F400]h:mm:ss\ AM/PM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2"/>
      <name val="Times New Roman"/>
      <family val="1"/>
    </font>
    <font>
      <i/>
      <sz val="10"/>
      <name val="Arial"/>
      <family val="2"/>
    </font>
    <font>
      <sz val="9"/>
      <color indexed="8"/>
      <name val="Arial"/>
      <family val="2"/>
    </font>
    <font>
      <sz val="14"/>
      <name val="Arial"/>
      <family val="2"/>
    </font>
    <font>
      <sz val="20"/>
      <color rgb="FF000000"/>
      <name val="Arial"/>
      <family val="2"/>
    </font>
    <font>
      <sz val="26"/>
      <color indexed="9"/>
      <name val="Arial"/>
      <family val="2"/>
    </font>
    <font>
      <sz val="20"/>
      <color indexed="9"/>
      <name val="Arial"/>
      <family val="2"/>
    </font>
    <font>
      <sz val="10"/>
      <color indexed="41"/>
      <name val="Arial"/>
      <family val="2"/>
    </font>
    <font>
      <b/>
      <sz val="12"/>
      <color indexed="10"/>
      <name val="Arial"/>
      <family val="2"/>
    </font>
  </fonts>
  <fills count="11">
    <fill>
      <patternFill patternType="none"/>
    </fill>
    <fill>
      <patternFill patternType="gray125"/>
    </fill>
    <fill>
      <patternFill patternType="lightDown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7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31">
    <xf numFmtId="0" fontId="0" fillId="0" borderId="0" xfId="0"/>
    <xf numFmtId="0" fontId="1" fillId="0" borderId="0" xfId="1" applyAlignment="1">
      <alignment horizontal="center" wrapText="1"/>
    </xf>
    <xf numFmtId="0" fontId="1" fillId="0" borderId="0" xfId="1" applyAlignment="1">
      <alignment horizontal="center"/>
    </xf>
    <xf numFmtId="0" fontId="1" fillId="0" borderId="1" xfId="1" applyBorder="1" applyAlignment="1">
      <alignment horizontal="center" wrapText="1"/>
    </xf>
    <xf numFmtId="0" fontId="1" fillId="0" borderId="1" xfId="1" quotePrefix="1" applyBorder="1" applyAlignment="1">
      <alignment horizontal="center" wrapText="1"/>
    </xf>
    <xf numFmtId="164" fontId="1" fillId="0" borderId="1" xfId="1" applyNumberFormat="1" applyBorder="1" applyAlignment="1">
      <alignment horizontal="center" wrapText="1"/>
    </xf>
    <xf numFmtId="164" fontId="1" fillId="0" borderId="1" xfId="1" quotePrefix="1" applyNumberFormat="1" applyBorder="1" applyAlignment="1">
      <alignment horizontal="center" wrapText="1"/>
    </xf>
    <xf numFmtId="164" fontId="1" fillId="0" borderId="0" xfId="1" applyNumberFormat="1" applyAlignment="1">
      <alignment horizontal="center"/>
    </xf>
    <xf numFmtId="164" fontId="1" fillId="0" borderId="0" xfId="1" applyNumberFormat="1" applyAlignment="1">
      <alignment horizontal="center" wrapText="1"/>
    </xf>
    <xf numFmtId="165" fontId="1" fillId="0" borderId="1" xfId="1" applyNumberFormat="1" applyBorder="1" applyAlignment="1">
      <alignment horizontal="center" wrapText="1"/>
    </xf>
    <xf numFmtId="165" fontId="1" fillId="0" borderId="1" xfId="1" quotePrefix="1" applyNumberFormat="1" applyBorder="1" applyAlignment="1">
      <alignment horizontal="center" wrapText="1"/>
    </xf>
    <xf numFmtId="165" fontId="1" fillId="0" borderId="0" xfId="1" applyNumberFormat="1" applyAlignment="1">
      <alignment horizontal="center"/>
    </xf>
    <xf numFmtId="165" fontId="1" fillId="0" borderId="0" xfId="1" applyNumberFormat="1" applyAlignment="1">
      <alignment horizontal="center" wrapText="1"/>
    </xf>
    <xf numFmtId="9" fontId="1" fillId="0" borderId="0" xfId="2" applyBorder="1" applyAlignment="1">
      <alignment horizontal="center" wrapText="1"/>
    </xf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 wrapText="1"/>
    </xf>
    <xf numFmtId="166" fontId="1" fillId="0" borderId="1" xfId="1" applyNumberFormat="1" applyBorder="1" applyAlignment="1">
      <alignment horizontal="center" wrapText="1"/>
    </xf>
    <xf numFmtId="167" fontId="1" fillId="0" borderId="0" xfId="1" applyNumberFormat="1" applyAlignment="1">
      <alignment horizontal="center" wrapText="1"/>
    </xf>
    <xf numFmtId="16" fontId="1" fillId="0" borderId="0" xfId="1" applyNumberFormat="1" applyAlignment="1">
      <alignment horizontal="center" wrapText="1"/>
    </xf>
    <xf numFmtId="0" fontId="1" fillId="0" borderId="0" xfId="1" quotePrefix="1" applyAlignment="1">
      <alignment horizontal="center" wrapText="1"/>
    </xf>
    <xf numFmtId="0" fontId="1" fillId="0" borderId="0" xfId="1"/>
    <xf numFmtId="0" fontId="2" fillId="0" borderId="0" xfId="1" applyFont="1"/>
    <xf numFmtId="0" fontId="1" fillId="0" borderId="0" xfId="1" applyAlignment="1">
      <alignment horizontal="left"/>
    </xf>
    <xf numFmtId="0" fontId="1" fillId="0" borderId="0" xfId="1" quotePrefix="1" applyAlignment="1">
      <alignment horizontal="left"/>
    </xf>
    <xf numFmtId="0" fontId="1" fillId="0" borderId="1" xfId="1" applyBorder="1" applyAlignment="1">
      <alignment horizontal="left"/>
    </xf>
    <xf numFmtId="0" fontId="1" fillId="0" borderId="1" xfId="1" applyBorder="1" applyAlignment="1">
      <alignment horizontal="center" textRotation="90"/>
    </xf>
    <xf numFmtId="0" fontId="4" fillId="0" borderId="1" xfId="1" applyFont="1" applyBorder="1" applyAlignment="1">
      <alignment horizontal="center"/>
    </xf>
    <xf numFmtId="0" fontId="2" fillId="0" borderId="3" xfId="1" applyFont="1" applyBorder="1" applyAlignment="1">
      <alignment horizontal="centerContinuous"/>
    </xf>
    <xf numFmtId="0" fontId="1" fillId="0" borderId="4" xfId="1" applyBorder="1" applyAlignment="1">
      <alignment horizontal="centerContinuous"/>
    </xf>
    <xf numFmtId="0" fontId="1" fillId="0" borderId="2" xfId="1" applyBorder="1" applyAlignment="1">
      <alignment horizontal="centerContinuous"/>
    </xf>
    <xf numFmtId="0" fontId="1" fillId="0" borderId="0" xfId="1" applyAlignment="1">
      <alignment horizontal="centerContinuous"/>
    </xf>
    <xf numFmtId="0" fontId="1" fillId="0" borderId="5" xfId="1" applyBorder="1" applyAlignment="1">
      <alignment horizontal="center" vertical="center" wrapText="1"/>
    </xf>
    <xf numFmtId="0" fontId="5" fillId="0" borderId="1" xfId="1" applyFont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2" borderId="1" xfId="1" applyFill="1" applyBorder="1" applyAlignment="1">
      <alignment horizontal="center"/>
    </xf>
    <xf numFmtId="0" fontId="1" fillId="0" borderId="1" xfId="1" applyBorder="1" applyAlignment="1">
      <alignment horizontal="center" vertical="center" wrapText="1"/>
    </xf>
    <xf numFmtId="0" fontId="1" fillId="0" borderId="7" xfId="1" applyBorder="1" applyAlignment="1">
      <alignment horizontal="center" vertical="center" wrapText="1"/>
    </xf>
    <xf numFmtId="0" fontId="1" fillId="0" borderId="3" xfId="1" applyBorder="1" applyAlignment="1">
      <alignment horizontal="left"/>
    </xf>
    <xf numFmtId="0" fontId="1" fillId="0" borderId="1" xfId="1" applyBorder="1" applyAlignment="1">
      <alignment horizontal="left" vertical="center" wrapText="1"/>
    </xf>
    <xf numFmtId="0" fontId="1" fillId="0" borderId="3" xfId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3" borderId="0" xfId="1" applyFill="1" applyAlignment="1">
      <alignment horizontal="center" vertical="center"/>
    </xf>
    <xf numFmtId="0" fontId="1" fillId="3" borderId="8" xfId="1" applyFill="1" applyBorder="1" applyAlignment="1">
      <alignment horizontal="center" vertical="center" wrapText="1"/>
    </xf>
    <xf numFmtId="0" fontId="1" fillId="3" borderId="0" xfId="1" applyFill="1" applyAlignment="1">
      <alignment horizontal="center" vertical="center" wrapText="1"/>
    </xf>
    <xf numFmtId="0" fontId="6" fillId="0" borderId="0" xfId="1" applyFont="1"/>
    <xf numFmtId="0" fontId="1" fillId="4" borderId="3" xfId="1" applyFill="1" applyBorder="1"/>
    <xf numFmtId="0" fontId="7" fillId="4" borderId="0" xfId="1" applyFont="1" applyFill="1"/>
    <xf numFmtId="0" fontId="1" fillId="4" borderId="1" xfId="1" applyFill="1" applyBorder="1"/>
    <xf numFmtId="0" fontId="1" fillId="4" borderId="0" xfId="1" applyFill="1"/>
    <xf numFmtId="0" fontId="1" fillId="5" borderId="3" xfId="1" applyFill="1" applyBorder="1"/>
    <xf numFmtId="0" fontId="7" fillId="6" borderId="0" xfId="1" applyFont="1" applyFill="1"/>
    <xf numFmtId="0" fontId="1" fillId="6" borderId="3" xfId="1" applyFill="1" applyBorder="1"/>
    <xf numFmtId="0" fontId="1" fillId="6" borderId="1" xfId="1" applyFill="1" applyBorder="1"/>
    <xf numFmtId="0" fontId="1" fillId="7" borderId="1" xfId="1" applyFill="1" applyBorder="1"/>
    <xf numFmtId="0" fontId="1" fillId="0" borderId="1" xfId="1" applyBorder="1"/>
    <xf numFmtId="0" fontId="1" fillId="0" borderId="7" xfId="1" applyBorder="1" applyAlignment="1">
      <alignment horizontal="lef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1" fillId="8" borderId="0" xfId="1" applyFill="1"/>
    <xf numFmtId="0" fontId="9" fillId="8" borderId="0" xfId="1" applyFont="1" applyFill="1" applyAlignment="1">
      <alignment horizontal="left" vertical="center"/>
    </xf>
    <xf numFmtId="0" fontId="9" fillId="8" borderId="0" xfId="1" applyFont="1" applyFill="1" applyAlignment="1">
      <alignment horizontal="center" vertical="center"/>
    </xf>
    <xf numFmtId="0" fontId="10" fillId="8" borderId="0" xfId="1" applyFont="1" applyFill="1" applyAlignment="1">
      <alignment horizontal="left" vertical="center"/>
    </xf>
    <xf numFmtId="0" fontId="1" fillId="9" borderId="0" xfId="1" applyFill="1"/>
    <xf numFmtId="0" fontId="1" fillId="10" borderId="0" xfId="1" applyFill="1"/>
    <xf numFmtId="0" fontId="7" fillId="10" borderId="0" xfId="1" applyFont="1" applyFill="1" applyAlignment="1">
      <alignment horizontal="right"/>
    </xf>
    <xf numFmtId="0" fontId="7" fillId="10" borderId="0" xfId="1" applyFont="1" applyFill="1" applyAlignment="1">
      <alignment horizontal="left"/>
    </xf>
    <xf numFmtId="0" fontId="7" fillId="10" borderId="0" xfId="1" applyFont="1" applyFill="1" applyAlignment="1" applyProtection="1">
      <alignment horizontal="left"/>
      <protection locked="0"/>
    </xf>
    <xf numFmtId="0" fontId="1" fillId="7" borderId="0" xfId="1" applyFill="1"/>
    <xf numFmtId="0" fontId="7" fillId="7" borderId="0" xfId="1" applyFont="1" applyFill="1"/>
    <xf numFmtId="0" fontId="7" fillId="7" borderId="0" xfId="1" applyFont="1" applyFill="1" applyAlignment="1">
      <alignment horizontal="right"/>
    </xf>
    <xf numFmtId="0" fontId="7" fillId="7" borderId="0" xfId="1" applyFont="1" applyFill="1" applyAlignment="1">
      <alignment horizontal="left"/>
    </xf>
    <xf numFmtId="0" fontId="1" fillId="7" borderId="0" xfId="1" applyFill="1" applyAlignment="1">
      <alignment horizontal="center"/>
    </xf>
    <xf numFmtId="0" fontId="11" fillId="7" borderId="0" xfId="1" applyFont="1" applyFill="1" applyAlignment="1">
      <alignment horizontal="center"/>
    </xf>
    <xf numFmtId="0" fontId="12" fillId="7" borderId="0" xfId="1" applyFont="1" applyFill="1" applyAlignment="1">
      <alignment horizontal="left"/>
    </xf>
    <xf numFmtId="0" fontId="11" fillId="7" borderId="0" xfId="1" applyFont="1" applyFill="1"/>
    <xf numFmtId="0" fontId="1" fillId="7" borderId="0" xfId="1" applyFill="1" applyAlignment="1">
      <alignment horizontal="centerContinuous"/>
    </xf>
    <xf numFmtId="0" fontId="1" fillId="7" borderId="9" xfId="1" applyFill="1" applyBorder="1" applyAlignment="1">
      <alignment horizontal="center" vertical="center"/>
    </xf>
    <xf numFmtId="0" fontId="1" fillId="7" borderId="10" xfId="1" applyFill="1" applyBorder="1" applyAlignment="1">
      <alignment horizontal="center" vertical="center"/>
    </xf>
    <xf numFmtId="0" fontId="1" fillId="7" borderId="10" xfId="1" applyFill="1" applyBorder="1" applyAlignment="1">
      <alignment horizontal="centerContinuous"/>
    </xf>
    <xf numFmtId="0" fontId="1" fillId="7" borderId="11" xfId="1" applyFill="1" applyBorder="1" applyAlignment="1">
      <alignment horizontal="centerContinuous"/>
    </xf>
    <xf numFmtId="0" fontId="1" fillId="0" borderId="12" xfId="1" applyBorder="1" applyAlignment="1">
      <alignment vertical="center" wrapText="1"/>
    </xf>
    <xf numFmtId="0" fontId="1" fillId="0" borderId="13" xfId="1" applyBorder="1" applyAlignment="1">
      <alignment vertical="center" wrapText="1"/>
    </xf>
    <xf numFmtId="0" fontId="1" fillId="0" borderId="14" xfId="1" applyBorder="1" applyAlignment="1">
      <alignment vertical="center" wrapText="1"/>
    </xf>
    <xf numFmtId="0" fontId="1" fillId="7" borderId="15" xfId="1" applyFill="1" applyBorder="1" applyAlignment="1">
      <alignment horizontal="center" vertical="center"/>
    </xf>
    <xf numFmtId="0" fontId="1" fillId="7" borderId="16" xfId="1" applyFill="1" applyBorder="1" applyAlignment="1">
      <alignment horizontal="center" vertical="center"/>
    </xf>
    <xf numFmtId="0" fontId="1" fillId="7" borderId="17" xfId="1" applyFill="1" applyBorder="1" applyAlignment="1">
      <alignment horizontal="center"/>
    </xf>
    <xf numFmtId="0" fontId="1" fillId="7" borderId="18" xfId="1" applyFill="1" applyBorder="1" applyAlignment="1">
      <alignment horizontal="center"/>
    </xf>
    <xf numFmtId="0" fontId="1" fillId="0" borderId="2" xfId="1" applyBorder="1"/>
    <xf numFmtId="0" fontId="1" fillId="0" borderId="19" xfId="1" applyBorder="1" applyAlignment="1">
      <alignment vertical="center" wrapText="1"/>
    </xf>
    <xf numFmtId="0" fontId="1" fillId="0" borderId="0" xfId="1" applyAlignment="1">
      <alignment vertical="center" wrapText="1"/>
    </xf>
    <xf numFmtId="0" fontId="1" fillId="0" borderId="20" xfId="1" applyBorder="1" applyAlignment="1">
      <alignment vertical="center" wrapText="1"/>
    </xf>
    <xf numFmtId="0" fontId="1" fillId="7" borderId="21" xfId="1" applyFill="1" applyBorder="1" applyAlignment="1">
      <alignment horizontal="center"/>
    </xf>
    <xf numFmtId="0" fontId="1" fillId="0" borderId="17" xfId="1" applyBorder="1" applyAlignment="1" applyProtection="1">
      <alignment horizontal="center"/>
      <protection locked="0"/>
    </xf>
    <xf numFmtId="0" fontId="1" fillId="0" borderId="18" xfId="1" applyBorder="1" applyAlignment="1" applyProtection="1">
      <alignment horizontal="center"/>
      <protection locked="0"/>
    </xf>
    <xf numFmtId="0" fontId="1" fillId="0" borderId="21" xfId="1" applyBorder="1" applyAlignment="1" applyProtection="1">
      <alignment horizontal="center"/>
      <protection locked="0"/>
    </xf>
    <xf numFmtId="0" fontId="1" fillId="0" borderId="22" xfId="1" applyBorder="1" applyAlignment="1">
      <alignment vertical="center" wrapText="1"/>
    </xf>
    <xf numFmtId="0" fontId="1" fillId="0" borderId="23" xfId="1" applyBorder="1" applyAlignment="1">
      <alignment vertical="center" wrapText="1"/>
    </xf>
    <xf numFmtId="0" fontId="1" fillId="0" borderId="24" xfId="1" applyBorder="1" applyAlignment="1">
      <alignment vertical="center" wrapText="1"/>
    </xf>
    <xf numFmtId="0" fontId="1" fillId="0" borderId="25" xfId="1" applyBorder="1" applyAlignment="1" applyProtection="1">
      <alignment horizontal="center"/>
      <protection locked="0"/>
    </xf>
    <xf numFmtId="0" fontId="1" fillId="0" borderId="26" xfId="1" applyBorder="1" applyAlignment="1" applyProtection="1">
      <alignment horizontal="center"/>
      <protection locked="0"/>
    </xf>
    <xf numFmtId="0" fontId="1" fillId="0" borderId="27" xfId="1" applyBorder="1" applyAlignment="1" applyProtection="1">
      <alignment horizontal="center"/>
      <protection locked="0"/>
    </xf>
    <xf numFmtId="0" fontId="1" fillId="7" borderId="25" xfId="1" applyFill="1" applyBorder="1" applyAlignment="1">
      <alignment horizontal="center"/>
    </xf>
    <xf numFmtId="0" fontId="1" fillId="7" borderId="26" xfId="1" applyFill="1" applyBorder="1" applyAlignment="1">
      <alignment horizontal="center"/>
    </xf>
    <xf numFmtId="0" fontId="1" fillId="4" borderId="0" xfId="1" applyFill="1" applyAlignment="1">
      <alignment horizontal="center"/>
    </xf>
    <xf numFmtId="0" fontId="2" fillId="4" borderId="28" xfId="1" applyFont="1" applyFill="1" applyBorder="1"/>
    <xf numFmtId="0" fontId="2" fillId="4" borderId="29" xfId="1" applyFont="1" applyFill="1" applyBorder="1"/>
    <xf numFmtId="0" fontId="2" fillId="4" borderId="30" xfId="1" applyFont="1" applyFill="1" applyBorder="1"/>
    <xf numFmtId="0" fontId="2" fillId="4" borderId="0" xfId="1" applyFont="1" applyFill="1"/>
    <xf numFmtId="0" fontId="1" fillId="4" borderId="4" xfId="1" applyFill="1" applyBorder="1"/>
    <xf numFmtId="0" fontId="1" fillId="4" borderId="2" xfId="1" applyFill="1" applyBorder="1"/>
    <xf numFmtId="0" fontId="1" fillId="0" borderId="1" xfId="1" applyBorder="1" applyAlignment="1" applyProtection="1">
      <alignment horizontal="center"/>
      <protection locked="0"/>
    </xf>
    <xf numFmtId="0" fontId="7" fillId="5" borderId="0" xfId="1" applyFont="1" applyFill="1"/>
    <xf numFmtId="0" fontId="1" fillId="5" borderId="0" xfId="1" applyFill="1"/>
    <xf numFmtId="0" fontId="1" fillId="5" borderId="0" xfId="1" applyFill="1" applyAlignment="1">
      <alignment horizontal="center"/>
    </xf>
    <xf numFmtId="0" fontId="1" fillId="5" borderId="4" xfId="1" applyFill="1" applyBorder="1"/>
    <xf numFmtId="0" fontId="1" fillId="5" borderId="2" xfId="1" applyFill="1" applyBorder="1"/>
    <xf numFmtId="0" fontId="1" fillId="6" borderId="0" xfId="1" applyFill="1"/>
    <xf numFmtId="0" fontId="1" fillId="6" borderId="0" xfId="1" applyFill="1" applyAlignment="1">
      <alignment horizontal="center"/>
    </xf>
    <xf numFmtId="0" fontId="2" fillId="6" borderId="28" xfId="1" applyFont="1" applyFill="1" applyBorder="1"/>
    <xf numFmtId="0" fontId="1" fillId="6" borderId="29" xfId="1" applyFill="1" applyBorder="1"/>
    <xf numFmtId="0" fontId="1" fillId="6" borderId="30" xfId="1" applyFill="1" applyBorder="1" applyAlignment="1">
      <alignment horizontal="center"/>
    </xf>
    <xf numFmtId="0" fontId="1" fillId="6" borderId="4" xfId="1" applyFill="1" applyBorder="1"/>
    <xf numFmtId="0" fontId="1" fillId="6" borderId="2" xfId="1" applyFill="1" applyBorder="1"/>
    <xf numFmtId="0" fontId="2" fillId="0" borderId="0" xfId="1" applyFont="1" applyAlignment="1">
      <alignment horizontal="left"/>
    </xf>
    <xf numFmtId="0" fontId="1" fillId="0" borderId="0" xfId="1" applyNumberFormat="1" applyAlignment="1">
      <alignment horizontal="center"/>
    </xf>
    <xf numFmtId="166" fontId="1" fillId="0" borderId="0" xfId="1" applyNumberFormat="1" applyAlignment="1">
      <alignment horizontal="center"/>
    </xf>
    <xf numFmtId="164" fontId="2" fillId="0" borderId="0" xfId="1" applyNumberFormat="1" applyFont="1" applyAlignment="1">
      <alignment horizontal="left"/>
    </xf>
    <xf numFmtId="165" fontId="2" fillId="0" borderId="0" xfId="1" applyNumberFormat="1" applyFont="1" applyAlignment="1">
      <alignment horizontal="left"/>
    </xf>
    <xf numFmtId="0" fontId="1" fillId="0" borderId="31" xfId="1" applyBorder="1" applyAlignment="1">
      <alignment horizontal="center"/>
    </xf>
    <xf numFmtId="0" fontId="1" fillId="0" borderId="5" xfId="1" applyBorder="1"/>
  </cellXfs>
  <cellStyles count="3">
    <cellStyle name="Normal" xfId="0" builtinId="0"/>
    <cellStyle name="Normal 3" xfId="1" xr:uid="{EC5F83F6-9C7C-4F30-AAD7-0CC9EDAE3092}"/>
    <cellStyle name="Pourcentage 3 2" xfId="2" xr:uid="{E920D929-0082-4AAA-82A5-97A8A1258D70}"/>
  </cellStyles>
  <dxfs count="6"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2452830188679"/>
          <c:y val="0.13815789473684212"/>
          <c:w val="0.58490566037735847"/>
          <c:h val="0.6776315789473684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Demand!$K$4:$BE$4</c:f>
              <c:numCache>
                <c:formatCode>General</c:formatCode>
                <c:ptCount val="47"/>
                <c:pt idx="0">
                  <c:v>10</c:v>
                </c:pt>
                <c:pt idx="1">
                  <c:v>14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16</c:v>
                </c:pt>
                <c:pt idx="6">
                  <c:v>15</c:v>
                </c:pt>
                <c:pt idx="7">
                  <c:v>15</c:v>
                </c:pt>
                <c:pt idx="8">
                  <c:v>14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15</c:v>
                </c:pt>
                <c:pt idx="13">
                  <c:v>16</c:v>
                </c:pt>
                <c:pt idx="14">
                  <c:v>22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19</c:v>
                </c:pt>
                <c:pt idx="19">
                  <c:v>19</c:v>
                </c:pt>
                <c:pt idx="20">
                  <c:v>18</c:v>
                </c:pt>
                <c:pt idx="21">
                  <c:v>17</c:v>
                </c:pt>
                <c:pt idx="22">
                  <c:v>16</c:v>
                </c:pt>
                <c:pt idx="23">
                  <c:v>19</c:v>
                </c:pt>
                <c:pt idx="24">
                  <c:v>20</c:v>
                </c:pt>
                <c:pt idx="25">
                  <c:v>22</c:v>
                </c:pt>
                <c:pt idx="26">
                  <c:v>24</c:v>
                </c:pt>
                <c:pt idx="27">
                  <c:v>26</c:v>
                </c:pt>
                <c:pt idx="28">
                  <c:v>28</c:v>
                </c:pt>
                <c:pt idx="29">
                  <c:v>28</c:v>
                </c:pt>
                <c:pt idx="30">
                  <c:v>25</c:v>
                </c:pt>
                <c:pt idx="31">
                  <c:v>25</c:v>
                </c:pt>
                <c:pt idx="32">
                  <c:v>22</c:v>
                </c:pt>
                <c:pt idx="33">
                  <c:v>19</c:v>
                </c:pt>
                <c:pt idx="34">
                  <c:v>21</c:v>
                </c:pt>
                <c:pt idx="35">
                  <c:v>20</c:v>
                </c:pt>
                <c:pt idx="36">
                  <c:v>24</c:v>
                </c:pt>
                <c:pt idx="37">
                  <c:v>26</c:v>
                </c:pt>
                <c:pt idx="38">
                  <c:v>28</c:v>
                </c:pt>
                <c:pt idx="39">
                  <c:v>31</c:v>
                </c:pt>
                <c:pt idx="40">
                  <c:v>34</c:v>
                </c:pt>
                <c:pt idx="41">
                  <c:v>33</c:v>
                </c:pt>
                <c:pt idx="42">
                  <c:v>32</c:v>
                </c:pt>
                <c:pt idx="43">
                  <c:v>30</c:v>
                </c:pt>
                <c:pt idx="44">
                  <c:v>27</c:v>
                </c:pt>
                <c:pt idx="45">
                  <c:v>24</c:v>
                </c:pt>
                <c:pt idx="46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6C-41C5-AF86-67D967D3928C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Demand!$K$5:$BE$5</c:f>
              <c:numCache>
                <c:formatCode>General</c:formatCode>
                <c:ptCount val="47"/>
                <c:pt idx="0">
                  <c:v>5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10</c:v>
                </c:pt>
                <c:pt idx="9">
                  <c:v>9</c:v>
                </c:pt>
                <c:pt idx="10">
                  <c:v>8</c:v>
                </c:pt>
                <c:pt idx="11">
                  <c:v>8</c:v>
                </c:pt>
                <c:pt idx="12">
                  <c:v>12</c:v>
                </c:pt>
                <c:pt idx="13">
                  <c:v>13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15</c:v>
                </c:pt>
                <c:pt idx="25">
                  <c:v>17</c:v>
                </c:pt>
                <c:pt idx="26">
                  <c:v>20</c:v>
                </c:pt>
                <c:pt idx="27">
                  <c:v>21</c:v>
                </c:pt>
                <c:pt idx="28">
                  <c:v>20</c:v>
                </c:pt>
                <c:pt idx="29">
                  <c:v>23</c:v>
                </c:pt>
                <c:pt idx="30">
                  <c:v>22</c:v>
                </c:pt>
                <c:pt idx="31">
                  <c:v>18</c:v>
                </c:pt>
                <c:pt idx="32">
                  <c:v>18</c:v>
                </c:pt>
                <c:pt idx="33">
                  <c:v>17</c:v>
                </c:pt>
                <c:pt idx="34">
                  <c:v>16</c:v>
                </c:pt>
                <c:pt idx="35">
                  <c:v>17</c:v>
                </c:pt>
                <c:pt idx="36">
                  <c:v>19</c:v>
                </c:pt>
                <c:pt idx="37">
                  <c:v>20</c:v>
                </c:pt>
                <c:pt idx="38">
                  <c:v>25</c:v>
                </c:pt>
                <c:pt idx="39">
                  <c:v>25</c:v>
                </c:pt>
                <c:pt idx="40">
                  <c:v>29</c:v>
                </c:pt>
                <c:pt idx="41">
                  <c:v>26</c:v>
                </c:pt>
                <c:pt idx="42">
                  <c:v>25</c:v>
                </c:pt>
                <c:pt idx="43">
                  <c:v>24</c:v>
                </c:pt>
                <c:pt idx="44">
                  <c:v>22</c:v>
                </c:pt>
                <c:pt idx="45">
                  <c:v>21</c:v>
                </c:pt>
                <c:pt idx="46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6C-41C5-AF86-67D967D39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797696"/>
        <c:axId val="144799232"/>
      </c:lineChart>
      <c:catAx>
        <c:axId val="144797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79923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447992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7976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943396226415094"/>
          <c:y val="0.40789473684210525"/>
          <c:w val="0.20754716981132071"/>
          <c:h val="0.1381578947368420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1200" vertic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297071129707113"/>
          <c:y val="0.13907329739657942"/>
          <c:w val="0.59832635983263593"/>
          <c:h val="0.6556312591553030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Demand!$K$6:$BE$6</c:f>
              <c:numCache>
                <c:formatCode>General</c:formatCode>
                <c:ptCount val="47"/>
                <c:pt idx="0">
                  <c:v>22</c:v>
                </c:pt>
                <c:pt idx="1">
                  <c:v>20</c:v>
                </c:pt>
                <c:pt idx="2">
                  <c:v>24</c:v>
                </c:pt>
                <c:pt idx="3">
                  <c:v>21</c:v>
                </c:pt>
                <c:pt idx="4">
                  <c:v>23</c:v>
                </c:pt>
                <c:pt idx="5">
                  <c:v>21</c:v>
                </c:pt>
                <c:pt idx="6">
                  <c:v>22</c:v>
                </c:pt>
                <c:pt idx="7">
                  <c:v>21</c:v>
                </c:pt>
                <c:pt idx="8">
                  <c:v>22</c:v>
                </c:pt>
                <c:pt idx="9">
                  <c:v>22</c:v>
                </c:pt>
                <c:pt idx="10">
                  <c:v>23</c:v>
                </c:pt>
                <c:pt idx="11">
                  <c:v>23</c:v>
                </c:pt>
                <c:pt idx="12">
                  <c:v>21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23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23</c:v>
                </c:pt>
                <c:pt idx="21">
                  <c:v>22</c:v>
                </c:pt>
                <c:pt idx="22">
                  <c:v>24</c:v>
                </c:pt>
                <c:pt idx="23">
                  <c:v>21</c:v>
                </c:pt>
                <c:pt idx="24">
                  <c:v>20</c:v>
                </c:pt>
                <c:pt idx="25">
                  <c:v>22</c:v>
                </c:pt>
                <c:pt idx="26">
                  <c:v>20</c:v>
                </c:pt>
                <c:pt idx="27">
                  <c:v>21</c:v>
                </c:pt>
                <c:pt idx="28">
                  <c:v>22</c:v>
                </c:pt>
                <c:pt idx="29">
                  <c:v>21</c:v>
                </c:pt>
                <c:pt idx="30">
                  <c:v>22</c:v>
                </c:pt>
                <c:pt idx="31">
                  <c:v>22</c:v>
                </c:pt>
                <c:pt idx="32">
                  <c:v>24</c:v>
                </c:pt>
                <c:pt idx="33">
                  <c:v>22</c:v>
                </c:pt>
                <c:pt idx="34">
                  <c:v>23</c:v>
                </c:pt>
                <c:pt idx="35">
                  <c:v>23</c:v>
                </c:pt>
                <c:pt idx="36">
                  <c:v>23</c:v>
                </c:pt>
                <c:pt idx="37">
                  <c:v>22</c:v>
                </c:pt>
                <c:pt idx="38">
                  <c:v>23</c:v>
                </c:pt>
                <c:pt idx="39">
                  <c:v>22</c:v>
                </c:pt>
                <c:pt idx="40">
                  <c:v>24</c:v>
                </c:pt>
                <c:pt idx="41">
                  <c:v>22</c:v>
                </c:pt>
                <c:pt idx="42">
                  <c:v>21</c:v>
                </c:pt>
                <c:pt idx="43">
                  <c:v>21</c:v>
                </c:pt>
                <c:pt idx="44">
                  <c:v>20</c:v>
                </c:pt>
                <c:pt idx="45">
                  <c:v>23</c:v>
                </c:pt>
                <c:pt idx="4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C8-4D7D-BD39-31E089463D74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Demand!$K$7:$BE$7</c:f>
              <c:numCache>
                <c:formatCode>General</c:formatCode>
                <c:ptCount val="47"/>
                <c:pt idx="0">
                  <c:v>15</c:v>
                </c:pt>
                <c:pt idx="1">
                  <c:v>14</c:v>
                </c:pt>
                <c:pt idx="2">
                  <c:v>15</c:v>
                </c:pt>
                <c:pt idx="3">
                  <c:v>15</c:v>
                </c:pt>
                <c:pt idx="4">
                  <c:v>14</c:v>
                </c:pt>
                <c:pt idx="5">
                  <c:v>15</c:v>
                </c:pt>
                <c:pt idx="6">
                  <c:v>15</c:v>
                </c:pt>
                <c:pt idx="7">
                  <c:v>13</c:v>
                </c:pt>
                <c:pt idx="8">
                  <c:v>14</c:v>
                </c:pt>
                <c:pt idx="9">
                  <c:v>14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14</c:v>
                </c:pt>
                <c:pt idx="14">
                  <c:v>14</c:v>
                </c:pt>
                <c:pt idx="15">
                  <c:v>17</c:v>
                </c:pt>
                <c:pt idx="16">
                  <c:v>13</c:v>
                </c:pt>
                <c:pt idx="17">
                  <c:v>14</c:v>
                </c:pt>
                <c:pt idx="18">
                  <c:v>14</c:v>
                </c:pt>
                <c:pt idx="19">
                  <c:v>17</c:v>
                </c:pt>
                <c:pt idx="20">
                  <c:v>15</c:v>
                </c:pt>
                <c:pt idx="21">
                  <c:v>16</c:v>
                </c:pt>
                <c:pt idx="22">
                  <c:v>14</c:v>
                </c:pt>
                <c:pt idx="23">
                  <c:v>13</c:v>
                </c:pt>
                <c:pt idx="24">
                  <c:v>14</c:v>
                </c:pt>
                <c:pt idx="25">
                  <c:v>17</c:v>
                </c:pt>
                <c:pt idx="26">
                  <c:v>16</c:v>
                </c:pt>
                <c:pt idx="27">
                  <c:v>15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16</c:v>
                </c:pt>
                <c:pt idx="33">
                  <c:v>16</c:v>
                </c:pt>
                <c:pt idx="34">
                  <c:v>15</c:v>
                </c:pt>
                <c:pt idx="35">
                  <c:v>14</c:v>
                </c:pt>
                <c:pt idx="36">
                  <c:v>15</c:v>
                </c:pt>
                <c:pt idx="37">
                  <c:v>16</c:v>
                </c:pt>
                <c:pt idx="38">
                  <c:v>15</c:v>
                </c:pt>
                <c:pt idx="39">
                  <c:v>15</c:v>
                </c:pt>
                <c:pt idx="40">
                  <c:v>17</c:v>
                </c:pt>
                <c:pt idx="41">
                  <c:v>15</c:v>
                </c:pt>
                <c:pt idx="42">
                  <c:v>16</c:v>
                </c:pt>
                <c:pt idx="43">
                  <c:v>16</c:v>
                </c:pt>
                <c:pt idx="44">
                  <c:v>14</c:v>
                </c:pt>
                <c:pt idx="45">
                  <c:v>15</c:v>
                </c:pt>
                <c:pt idx="46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C8-4D7D-BD39-31E089463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890496"/>
        <c:axId val="144933248"/>
      </c:lineChart>
      <c:catAx>
        <c:axId val="144890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933248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449332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8904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732217573221761"/>
          <c:y val="0.38410735081955816"/>
          <c:w val="0.21338912133891208"/>
          <c:h val="0.1589410926283221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4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2452830188679"/>
          <c:y val="0.14093959731543623"/>
          <c:w val="0.58490566037735847"/>
          <c:h val="0.6711409395973154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Demand!$K$8:$BE$8</c:f>
              <c:numCache>
                <c:formatCode>General</c:formatCode>
                <c:ptCount val="47"/>
                <c:pt idx="0">
                  <c:v>27</c:v>
                </c:pt>
                <c:pt idx="1">
                  <c:v>24</c:v>
                </c:pt>
                <c:pt idx="2">
                  <c:v>22</c:v>
                </c:pt>
                <c:pt idx="3">
                  <c:v>21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21</c:v>
                </c:pt>
                <c:pt idx="9">
                  <c:v>24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25</c:v>
                </c:pt>
                <c:pt idx="14">
                  <c:v>24</c:v>
                </c:pt>
                <c:pt idx="15">
                  <c:v>22</c:v>
                </c:pt>
                <c:pt idx="16">
                  <c:v>17</c:v>
                </c:pt>
                <c:pt idx="17">
                  <c:v>16</c:v>
                </c:pt>
                <c:pt idx="18">
                  <c:v>20</c:v>
                </c:pt>
                <c:pt idx="19">
                  <c:v>18</c:v>
                </c:pt>
                <c:pt idx="20">
                  <c:v>22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24</c:v>
                </c:pt>
                <c:pt idx="25">
                  <c:v>24</c:v>
                </c:pt>
                <c:pt idx="26">
                  <c:v>21</c:v>
                </c:pt>
                <c:pt idx="27">
                  <c:v>22</c:v>
                </c:pt>
                <c:pt idx="28">
                  <c:v>17</c:v>
                </c:pt>
                <c:pt idx="29">
                  <c:v>16</c:v>
                </c:pt>
                <c:pt idx="30">
                  <c:v>19</c:v>
                </c:pt>
                <c:pt idx="31">
                  <c:v>20</c:v>
                </c:pt>
                <c:pt idx="32">
                  <c:v>21</c:v>
                </c:pt>
                <c:pt idx="33">
                  <c:v>24</c:v>
                </c:pt>
                <c:pt idx="34">
                  <c:v>25</c:v>
                </c:pt>
                <c:pt idx="35">
                  <c:v>27</c:v>
                </c:pt>
                <c:pt idx="36">
                  <c:v>25</c:v>
                </c:pt>
                <c:pt idx="37">
                  <c:v>25</c:v>
                </c:pt>
                <c:pt idx="38">
                  <c:v>21</c:v>
                </c:pt>
                <c:pt idx="39">
                  <c:v>21</c:v>
                </c:pt>
                <c:pt idx="40">
                  <c:v>19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23</c:v>
                </c:pt>
                <c:pt idx="45">
                  <c:v>23</c:v>
                </c:pt>
                <c:pt idx="46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42-4676-8BE9-65E509F6E061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Demand!$K$9:$BE$9</c:f>
              <c:numCache>
                <c:formatCode>General</c:formatCode>
                <c:ptCount val="47"/>
                <c:pt idx="0">
                  <c:v>13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13</c:v>
                </c:pt>
                <c:pt idx="5">
                  <c:v>14</c:v>
                </c:pt>
                <c:pt idx="6">
                  <c:v>17</c:v>
                </c:pt>
                <c:pt idx="7">
                  <c:v>16</c:v>
                </c:pt>
                <c:pt idx="8">
                  <c:v>19</c:v>
                </c:pt>
                <c:pt idx="9">
                  <c:v>17</c:v>
                </c:pt>
                <c:pt idx="10">
                  <c:v>17</c:v>
                </c:pt>
                <c:pt idx="11">
                  <c:v>15</c:v>
                </c:pt>
                <c:pt idx="12">
                  <c:v>13</c:v>
                </c:pt>
                <c:pt idx="13">
                  <c:v>11</c:v>
                </c:pt>
                <c:pt idx="14">
                  <c:v>12</c:v>
                </c:pt>
                <c:pt idx="15">
                  <c:v>12</c:v>
                </c:pt>
                <c:pt idx="16">
                  <c:v>14</c:v>
                </c:pt>
                <c:pt idx="17">
                  <c:v>14</c:v>
                </c:pt>
                <c:pt idx="18">
                  <c:v>16</c:v>
                </c:pt>
                <c:pt idx="19">
                  <c:v>17</c:v>
                </c:pt>
                <c:pt idx="20">
                  <c:v>20</c:v>
                </c:pt>
                <c:pt idx="21">
                  <c:v>16</c:v>
                </c:pt>
                <c:pt idx="22">
                  <c:v>17</c:v>
                </c:pt>
                <c:pt idx="23">
                  <c:v>17</c:v>
                </c:pt>
                <c:pt idx="24">
                  <c:v>14</c:v>
                </c:pt>
                <c:pt idx="25">
                  <c:v>13</c:v>
                </c:pt>
                <c:pt idx="26">
                  <c:v>12</c:v>
                </c:pt>
                <c:pt idx="27">
                  <c:v>11</c:v>
                </c:pt>
                <c:pt idx="28">
                  <c:v>14</c:v>
                </c:pt>
                <c:pt idx="29">
                  <c:v>14</c:v>
                </c:pt>
                <c:pt idx="30">
                  <c:v>17</c:v>
                </c:pt>
                <c:pt idx="31">
                  <c:v>17</c:v>
                </c:pt>
                <c:pt idx="32">
                  <c:v>15</c:v>
                </c:pt>
                <c:pt idx="33">
                  <c:v>18</c:v>
                </c:pt>
                <c:pt idx="34">
                  <c:v>18</c:v>
                </c:pt>
                <c:pt idx="35">
                  <c:v>15</c:v>
                </c:pt>
                <c:pt idx="36">
                  <c:v>13</c:v>
                </c:pt>
                <c:pt idx="37">
                  <c:v>12</c:v>
                </c:pt>
                <c:pt idx="38">
                  <c:v>12</c:v>
                </c:pt>
                <c:pt idx="39">
                  <c:v>13</c:v>
                </c:pt>
                <c:pt idx="40">
                  <c:v>14</c:v>
                </c:pt>
                <c:pt idx="41">
                  <c:v>16</c:v>
                </c:pt>
                <c:pt idx="42">
                  <c:v>18</c:v>
                </c:pt>
                <c:pt idx="43">
                  <c:v>16</c:v>
                </c:pt>
                <c:pt idx="44">
                  <c:v>17</c:v>
                </c:pt>
                <c:pt idx="45">
                  <c:v>19</c:v>
                </c:pt>
                <c:pt idx="46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42-4676-8BE9-65E509F6E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54880"/>
        <c:axId val="144956416"/>
      </c:lineChart>
      <c:catAx>
        <c:axId val="144954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956416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449564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9548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943396226415094"/>
          <c:y val="0.40939597315436244"/>
          <c:w val="0.20754716981132071"/>
          <c:h val="0.140939597315436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261310798981203"/>
          <c:y val="0.14685314685314685"/>
          <c:w val="0.60360625882539254"/>
          <c:h val="0.65734265734265729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Demand!$K$10:$BE$10</c:f>
              <c:numCache>
                <c:formatCode>General</c:formatCode>
                <c:ptCount val="47"/>
                <c:pt idx="0">
                  <c:v>13</c:v>
                </c:pt>
                <c:pt idx="1">
                  <c:v>11</c:v>
                </c:pt>
                <c:pt idx="2">
                  <c:v>13</c:v>
                </c:pt>
                <c:pt idx="3">
                  <c:v>10</c:v>
                </c:pt>
                <c:pt idx="4">
                  <c:v>12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14</c:v>
                </c:pt>
                <c:pt idx="9">
                  <c:v>15</c:v>
                </c:pt>
                <c:pt idx="10">
                  <c:v>17</c:v>
                </c:pt>
                <c:pt idx="11">
                  <c:v>16</c:v>
                </c:pt>
                <c:pt idx="12">
                  <c:v>19</c:v>
                </c:pt>
                <c:pt idx="13">
                  <c:v>18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24</c:v>
                </c:pt>
                <c:pt idx="21">
                  <c:v>23</c:v>
                </c:pt>
                <c:pt idx="22">
                  <c:v>23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19</c:v>
                </c:pt>
                <c:pt idx="28">
                  <c:v>20</c:v>
                </c:pt>
                <c:pt idx="29">
                  <c:v>18</c:v>
                </c:pt>
                <c:pt idx="30">
                  <c:v>20</c:v>
                </c:pt>
                <c:pt idx="31">
                  <c:v>20</c:v>
                </c:pt>
                <c:pt idx="32">
                  <c:v>23</c:v>
                </c:pt>
                <c:pt idx="33">
                  <c:v>24</c:v>
                </c:pt>
                <c:pt idx="34">
                  <c:v>26</c:v>
                </c:pt>
                <c:pt idx="35">
                  <c:v>27</c:v>
                </c:pt>
                <c:pt idx="36">
                  <c:v>30</c:v>
                </c:pt>
                <c:pt idx="37">
                  <c:v>31</c:v>
                </c:pt>
                <c:pt idx="38">
                  <c:v>33</c:v>
                </c:pt>
                <c:pt idx="39">
                  <c:v>33</c:v>
                </c:pt>
                <c:pt idx="40">
                  <c:v>35</c:v>
                </c:pt>
                <c:pt idx="41">
                  <c:v>34</c:v>
                </c:pt>
                <c:pt idx="42">
                  <c:v>36</c:v>
                </c:pt>
                <c:pt idx="43">
                  <c:v>36</c:v>
                </c:pt>
                <c:pt idx="44">
                  <c:v>34</c:v>
                </c:pt>
                <c:pt idx="45">
                  <c:v>34</c:v>
                </c:pt>
                <c:pt idx="46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96-4FD1-BC14-92AD68A7FDDB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Demand!$K$11:$BE$11</c:f>
              <c:numCache>
                <c:formatCode>General</c:formatCode>
                <c:ptCount val="47"/>
                <c:pt idx="0">
                  <c:v>7</c:v>
                </c:pt>
                <c:pt idx="1">
                  <c:v>4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12</c:v>
                </c:pt>
                <c:pt idx="13">
                  <c:v>14</c:v>
                </c:pt>
                <c:pt idx="14">
                  <c:v>15</c:v>
                </c:pt>
                <c:pt idx="15">
                  <c:v>15</c:v>
                </c:pt>
                <c:pt idx="16">
                  <c:v>14</c:v>
                </c:pt>
                <c:pt idx="17">
                  <c:v>16</c:v>
                </c:pt>
                <c:pt idx="18">
                  <c:v>15</c:v>
                </c:pt>
                <c:pt idx="19">
                  <c:v>15</c:v>
                </c:pt>
                <c:pt idx="20">
                  <c:v>16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14</c:v>
                </c:pt>
                <c:pt idx="26">
                  <c:v>15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19</c:v>
                </c:pt>
                <c:pt idx="36">
                  <c:v>20</c:v>
                </c:pt>
                <c:pt idx="37">
                  <c:v>24</c:v>
                </c:pt>
                <c:pt idx="38">
                  <c:v>26</c:v>
                </c:pt>
                <c:pt idx="39">
                  <c:v>26</c:v>
                </c:pt>
                <c:pt idx="40">
                  <c:v>27</c:v>
                </c:pt>
                <c:pt idx="41">
                  <c:v>27</c:v>
                </c:pt>
                <c:pt idx="42">
                  <c:v>27</c:v>
                </c:pt>
                <c:pt idx="43">
                  <c:v>27</c:v>
                </c:pt>
                <c:pt idx="44">
                  <c:v>27</c:v>
                </c:pt>
                <c:pt idx="45">
                  <c:v>26</c:v>
                </c:pt>
                <c:pt idx="46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96-4FD1-BC14-92AD68A7F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70112"/>
        <c:axId val="144971648"/>
      </c:lineChart>
      <c:catAx>
        <c:axId val="14497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971648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449716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9701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126457165827244"/>
          <c:y val="0.39860139860139859"/>
          <c:w val="0.19819914402591565"/>
          <c:h val="0.1468531468531468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627906976744186"/>
          <c:y val="0.15"/>
          <c:w val="0.59069767441860466"/>
          <c:h val="0.6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Demand!$K$12:$BE$12</c:f>
              <c:numCache>
                <c:formatCode>General</c:formatCode>
                <c:ptCount val="47"/>
                <c:pt idx="0">
                  <c:v>14</c:v>
                </c:pt>
                <c:pt idx="1">
                  <c:v>17</c:v>
                </c:pt>
                <c:pt idx="2">
                  <c:v>14</c:v>
                </c:pt>
                <c:pt idx="3">
                  <c:v>20</c:v>
                </c:pt>
                <c:pt idx="4">
                  <c:v>16</c:v>
                </c:pt>
                <c:pt idx="5">
                  <c:v>16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11</c:v>
                </c:pt>
                <c:pt idx="10">
                  <c:v>16</c:v>
                </c:pt>
                <c:pt idx="11">
                  <c:v>16</c:v>
                </c:pt>
                <c:pt idx="12">
                  <c:v>22</c:v>
                </c:pt>
                <c:pt idx="13">
                  <c:v>20</c:v>
                </c:pt>
                <c:pt idx="14">
                  <c:v>27</c:v>
                </c:pt>
                <c:pt idx="15">
                  <c:v>23</c:v>
                </c:pt>
                <c:pt idx="16">
                  <c:v>26</c:v>
                </c:pt>
                <c:pt idx="17">
                  <c:v>19</c:v>
                </c:pt>
                <c:pt idx="18">
                  <c:v>18</c:v>
                </c:pt>
                <c:pt idx="19">
                  <c:v>17</c:v>
                </c:pt>
                <c:pt idx="20">
                  <c:v>20</c:v>
                </c:pt>
                <c:pt idx="21">
                  <c:v>16</c:v>
                </c:pt>
                <c:pt idx="22">
                  <c:v>18</c:v>
                </c:pt>
                <c:pt idx="23">
                  <c:v>21</c:v>
                </c:pt>
                <c:pt idx="24">
                  <c:v>29</c:v>
                </c:pt>
                <c:pt idx="25">
                  <c:v>26</c:v>
                </c:pt>
                <c:pt idx="26">
                  <c:v>31</c:v>
                </c:pt>
                <c:pt idx="27">
                  <c:v>25</c:v>
                </c:pt>
                <c:pt idx="28">
                  <c:v>24</c:v>
                </c:pt>
                <c:pt idx="29">
                  <c:v>25</c:v>
                </c:pt>
                <c:pt idx="30">
                  <c:v>25</c:v>
                </c:pt>
                <c:pt idx="31">
                  <c:v>19</c:v>
                </c:pt>
                <c:pt idx="32">
                  <c:v>20</c:v>
                </c:pt>
                <c:pt idx="33">
                  <c:v>21</c:v>
                </c:pt>
                <c:pt idx="34">
                  <c:v>24</c:v>
                </c:pt>
                <c:pt idx="35">
                  <c:v>25</c:v>
                </c:pt>
                <c:pt idx="36">
                  <c:v>30</c:v>
                </c:pt>
                <c:pt idx="37">
                  <c:v>34</c:v>
                </c:pt>
                <c:pt idx="38">
                  <c:v>32</c:v>
                </c:pt>
                <c:pt idx="39">
                  <c:v>34</c:v>
                </c:pt>
                <c:pt idx="40">
                  <c:v>29</c:v>
                </c:pt>
                <c:pt idx="41">
                  <c:v>29</c:v>
                </c:pt>
                <c:pt idx="42">
                  <c:v>27</c:v>
                </c:pt>
                <c:pt idx="43">
                  <c:v>28</c:v>
                </c:pt>
                <c:pt idx="44">
                  <c:v>23</c:v>
                </c:pt>
                <c:pt idx="45">
                  <c:v>22</c:v>
                </c:pt>
                <c:pt idx="46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0E-48E0-8020-6F8E4A2C1560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Demand!$K$13:$BE$13</c:f>
              <c:numCache>
                <c:formatCode>General</c:formatCode>
                <c:ptCount val="47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8</c:v>
                </c:pt>
                <c:pt idx="4">
                  <c:v>10</c:v>
                </c:pt>
                <c:pt idx="5">
                  <c:v>7</c:v>
                </c:pt>
                <c:pt idx="6">
                  <c:v>5</c:v>
                </c:pt>
                <c:pt idx="7">
                  <c:v>6</c:v>
                </c:pt>
                <c:pt idx="8">
                  <c:v>9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10</c:v>
                </c:pt>
                <c:pt idx="13">
                  <c:v>14</c:v>
                </c:pt>
                <c:pt idx="14">
                  <c:v>13</c:v>
                </c:pt>
                <c:pt idx="15">
                  <c:v>15</c:v>
                </c:pt>
                <c:pt idx="16">
                  <c:v>17</c:v>
                </c:pt>
                <c:pt idx="17">
                  <c:v>10</c:v>
                </c:pt>
                <c:pt idx="18">
                  <c:v>10</c:v>
                </c:pt>
                <c:pt idx="19">
                  <c:v>11</c:v>
                </c:pt>
                <c:pt idx="20">
                  <c:v>7</c:v>
                </c:pt>
                <c:pt idx="21">
                  <c:v>12</c:v>
                </c:pt>
                <c:pt idx="22">
                  <c:v>15</c:v>
                </c:pt>
                <c:pt idx="23">
                  <c:v>16</c:v>
                </c:pt>
                <c:pt idx="24">
                  <c:v>19</c:v>
                </c:pt>
                <c:pt idx="25">
                  <c:v>17</c:v>
                </c:pt>
                <c:pt idx="26">
                  <c:v>21</c:v>
                </c:pt>
                <c:pt idx="27">
                  <c:v>19</c:v>
                </c:pt>
                <c:pt idx="28">
                  <c:v>16</c:v>
                </c:pt>
                <c:pt idx="29">
                  <c:v>15</c:v>
                </c:pt>
                <c:pt idx="30">
                  <c:v>13</c:v>
                </c:pt>
                <c:pt idx="31">
                  <c:v>16</c:v>
                </c:pt>
                <c:pt idx="32">
                  <c:v>17</c:v>
                </c:pt>
                <c:pt idx="33">
                  <c:v>19</c:v>
                </c:pt>
                <c:pt idx="34">
                  <c:v>20</c:v>
                </c:pt>
                <c:pt idx="35">
                  <c:v>16</c:v>
                </c:pt>
                <c:pt idx="36">
                  <c:v>22</c:v>
                </c:pt>
                <c:pt idx="37">
                  <c:v>21</c:v>
                </c:pt>
                <c:pt idx="38">
                  <c:v>23</c:v>
                </c:pt>
                <c:pt idx="39">
                  <c:v>25</c:v>
                </c:pt>
                <c:pt idx="40">
                  <c:v>23</c:v>
                </c:pt>
                <c:pt idx="41">
                  <c:v>23</c:v>
                </c:pt>
                <c:pt idx="42">
                  <c:v>21</c:v>
                </c:pt>
                <c:pt idx="43">
                  <c:v>17</c:v>
                </c:pt>
                <c:pt idx="44">
                  <c:v>17</c:v>
                </c:pt>
                <c:pt idx="45">
                  <c:v>23</c:v>
                </c:pt>
                <c:pt idx="4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0E-48E0-8020-6F8E4A2C1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009664"/>
        <c:axId val="145019648"/>
      </c:lineChart>
      <c:catAx>
        <c:axId val="145009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5019648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450196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50096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348837209302322"/>
          <c:y val="0.4"/>
          <c:w val="0.20465116279069773"/>
          <c:h val="0.1500000000000000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37143014336737"/>
          <c:y val="0.14893720174812825"/>
          <c:w val="0.58685715071683686"/>
          <c:h val="0.65248678861084752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Demand!$K$14:$BE$14</c:f>
              <c:numCache>
                <c:formatCode>General</c:formatCode>
                <c:ptCount val="47"/>
                <c:pt idx="0">
                  <c:v>33</c:v>
                </c:pt>
                <c:pt idx="1">
                  <c:v>28</c:v>
                </c:pt>
                <c:pt idx="2">
                  <c:v>24</c:v>
                </c:pt>
                <c:pt idx="3">
                  <c:v>24</c:v>
                </c:pt>
                <c:pt idx="4">
                  <c:v>29</c:v>
                </c:pt>
                <c:pt idx="5">
                  <c:v>34</c:v>
                </c:pt>
                <c:pt idx="6">
                  <c:v>34</c:v>
                </c:pt>
                <c:pt idx="7">
                  <c:v>38</c:v>
                </c:pt>
                <c:pt idx="8">
                  <c:v>36</c:v>
                </c:pt>
                <c:pt idx="9">
                  <c:v>30</c:v>
                </c:pt>
                <c:pt idx="10">
                  <c:v>32</c:v>
                </c:pt>
                <c:pt idx="11">
                  <c:v>26</c:v>
                </c:pt>
                <c:pt idx="12">
                  <c:v>25</c:v>
                </c:pt>
                <c:pt idx="13">
                  <c:v>18</c:v>
                </c:pt>
                <c:pt idx="14">
                  <c:v>21</c:v>
                </c:pt>
                <c:pt idx="15">
                  <c:v>20</c:v>
                </c:pt>
                <c:pt idx="16">
                  <c:v>21</c:v>
                </c:pt>
                <c:pt idx="17">
                  <c:v>21</c:v>
                </c:pt>
                <c:pt idx="18">
                  <c:v>29</c:v>
                </c:pt>
                <c:pt idx="19">
                  <c:v>28</c:v>
                </c:pt>
                <c:pt idx="20">
                  <c:v>25</c:v>
                </c:pt>
                <c:pt idx="21">
                  <c:v>26</c:v>
                </c:pt>
                <c:pt idx="22">
                  <c:v>26</c:v>
                </c:pt>
                <c:pt idx="23">
                  <c:v>21</c:v>
                </c:pt>
                <c:pt idx="24">
                  <c:v>16</c:v>
                </c:pt>
                <c:pt idx="25">
                  <c:v>18</c:v>
                </c:pt>
                <c:pt idx="26">
                  <c:v>16</c:v>
                </c:pt>
                <c:pt idx="27">
                  <c:v>17</c:v>
                </c:pt>
                <c:pt idx="28">
                  <c:v>15</c:v>
                </c:pt>
                <c:pt idx="29">
                  <c:v>21</c:v>
                </c:pt>
                <c:pt idx="30">
                  <c:v>20</c:v>
                </c:pt>
                <c:pt idx="31">
                  <c:v>21</c:v>
                </c:pt>
                <c:pt idx="32">
                  <c:v>24</c:v>
                </c:pt>
                <c:pt idx="33">
                  <c:v>19</c:v>
                </c:pt>
                <c:pt idx="34">
                  <c:v>20</c:v>
                </c:pt>
                <c:pt idx="35">
                  <c:v>15</c:v>
                </c:pt>
                <c:pt idx="36">
                  <c:v>12</c:v>
                </c:pt>
                <c:pt idx="37">
                  <c:v>14</c:v>
                </c:pt>
                <c:pt idx="38">
                  <c:v>15</c:v>
                </c:pt>
                <c:pt idx="39">
                  <c:v>9</c:v>
                </c:pt>
                <c:pt idx="40">
                  <c:v>13</c:v>
                </c:pt>
                <c:pt idx="41">
                  <c:v>14</c:v>
                </c:pt>
                <c:pt idx="42">
                  <c:v>12</c:v>
                </c:pt>
                <c:pt idx="43">
                  <c:v>10</c:v>
                </c:pt>
                <c:pt idx="44">
                  <c:v>17</c:v>
                </c:pt>
                <c:pt idx="45">
                  <c:v>12</c:v>
                </c:pt>
                <c:pt idx="46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70-4D03-B765-C8CDE5626598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Demand!$K$15:$BE$15</c:f>
              <c:numCache>
                <c:formatCode>General</c:formatCode>
                <c:ptCount val="47"/>
                <c:pt idx="0">
                  <c:v>13</c:v>
                </c:pt>
                <c:pt idx="1">
                  <c:v>10</c:v>
                </c:pt>
                <c:pt idx="2">
                  <c:v>14</c:v>
                </c:pt>
                <c:pt idx="3">
                  <c:v>18</c:v>
                </c:pt>
                <c:pt idx="4">
                  <c:v>14</c:v>
                </c:pt>
                <c:pt idx="5">
                  <c:v>17</c:v>
                </c:pt>
                <c:pt idx="6">
                  <c:v>20</c:v>
                </c:pt>
                <c:pt idx="7">
                  <c:v>20</c:v>
                </c:pt>
                <c:pt idx="8">
                  <c:v>19</c:v>
                </c:pt>
                <c:pt idx="9">
                  <c:v>19</c:v>
                </c:pt>
                <c:pt idx="10">
                  <c:v>17</c:v>
                </c:pt>
                <c:pt idx="11">
                  <c:v>15</c:v>
                </c:pt>
                <c:pt idx="12">
                  <c:v>13</c:v>
                </c:pt>
                <c:pt idx="13">
                  <c:v>14</c:v>
                </c:pt>
                <c:pt idx="14">
                  <c:v>14</c:v>
                </c:pt>
                <c:pt idx="15">
                  <c:v>11</c:v>
                </c:pt>
                <c:pt idx="16">
                  <c:v>15</c:v>
                </c:pt>
                <c:pt idx="17">
                  <c:v>12</c:v>
                </c:pt>
                <c:pt idx="18">
                  <c:v>15</c:v>
                </c:pt>
                <c:pt idx="19">
                  <c:v>15</c:v>
                </c:pt>
                <c:pt idx="20">
                  <c:v>22</c:v>
                </c:pt>
                <c:pt idx="21">
                  <c:v>19</c:v>
                </c:pt>
                <c:pt idx="22">
                  <c:v>16</c:v>
                </c:pt>
                <c:pt idx="23">
                  <c:v>18</c:v>
                </c:pt>
                <c:pt idx="24">
                  <c:v>14</c:v>
                </c:pt>
                <c:pt idx="25">
                  <c:v>14</c:v>
                </c:pt>
                <c:pt idx="26">
                  <c:v>13</c:v>
                </c:pt>
                <c:pt idx="27">
                  <c:v>14</c:v>
                </c:pt>
                <c:pt idx="28">
                  <c:v>12</c:v>
                </c:pt>
                <c:pt idx="29">
                  <c:v>15</c:v>
                </c:pt>
                <c:pt idx="30">
                  <c:v>18</c:v>
                </c:pt>
                <c:pt idx="31">
                  <c:v>17</c:v>
                </c:pt>
                <c:pt idx="32">
                  <c:v>16</c:v>
                </c:pt>
                <c:pt idx="33">
                  <c:v>18</c:v>
                </c:pt>
                <c:pt idx="34">
                  <c:v>13</c:v>
                </c:pt>
                <c:pt idx="35">
                  <c:v>12</c:v>
                </c:pt>
                <c:pt idx="36">
                  <c:v>12</c:v>
                </c:pt>
                <c:pt idx="37">
                  <c:v>10</c:v>
                </c:pt>
                <c:pt idx="38">
                  <c:v>10</c:v>
                </c:pt>
                <c:pt idx="39">
                  <c:v>9</c:v>
                </c:pt>
                <c:pt idx="40">
                  <c:v>13</c:v>
                </c:pt>
                <c:pt idx="41">
                  <c:v>13</c:v>
                </c:pt>
                <c:pt idx="42">
                  <c:v>14</c:v>
                </c:pt>
                <c:pt idx="43">
                  <c:v>17</c:v>
                </c:pt>
                <c:pt idx="44">
                  <c:v>19</c:v>
                </c:pt>
                <c:pt idx="45">
                  <c:v>16</c:v>
                </c:pt>
                <c:pt idx="46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70-4D03-B765-C8CDE5626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308736"/>
        <c:axId val="150310272"/>
      </c:lineChart>
      <c:catAx>
        <c:axId val="150308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1027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503102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087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056683055463137"/>
          <c:y val="0.40425829750004655"/>
          <c:w val="0.20657375574532055"/>
          <c:h val="0.1489369148005435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59322033898305"/>
          <c:y val="0.15"/>
          <c:w val="0.6271186440677966"/>
          <c:h val="0.6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Demand!$K$16:$BE$16</c:f>
              <c:numCache>
                <c:formatCode>General</c:formatCode>
                <c:ptCount val="47"/>
                <c:pt idx="0">
                  <c:v>19</c:v>
                </c:pt>
                <c:pt idx="1">
                  <c:v>25</c:v>
                </c:pt>
                <c:pt idx="2">
                  <c:v>25</c:v>
                </c:pt>
                <c:pt idx="3">
                  <c:v>29</c:v>
                </c:pt>
                <c:pt idx="4">
                  <c:v>31</c:v>
                </c:pt>
                <c:pt idx="5">
                  <c:v>32</c:v>
                </c:pt>
                <c:pt idx="6">
                  <c:v>32</c:v>
                </c:pt>
                <c:pt idx="7">
                  <c:v>28</c:v>
                </c:pt>
                <c:pt idx="8">
                  <c:v>23</c:v>
                </c:pt>
                <c:pt idx="9">
                  <c:v>21</c:v>
                </c:pt>
                <c:pt idx="10">
                  <c:v>17</c:v>
                </c:pt>
                <c:pt idx="11">
                  <c:v>22</c:v>
                </c:pt>
                <c:pt idx="12">
                  <c:v>21</c:v>
                </c:pt>
                <c:pt idx="13">
                  <c:v>23</c:v>
                </c:pt>
                <c:pt idx="14">
                  <c:v>26</c:v>
                </c:pt>
                <c:pt idx="15">
                  <c:v>25</c:v>
                </c:pt>
                <c:pt idx="16">
                  <c:v>24</c:v>
                </c:pt>
                <c:pt idx="17">
                  <c:v>27</c:v>
                </c:pt>
                <c:pt idx="18">
                  <c:v>29</c:v>
                </c:pt>
                <c:pt idx="19">
                  <c:v>27</c:v>
                </c:pt>
                <c:pt idx="20">
                  <c:v>22</c:v>
                </c:pt>
                <c:pt idx="21">
                  <c:v>25</c:v>
                </c:pt>
                <c:pt idx="22">
                  <c:v>18</c:v>
                </c:pt>
                <c:pt idx="23">
                  <c:v>20</c:v>
                </c:pt>
                <c:pt idx="24">
                  <c:v>19</c:v>
                </c:pt>
                <c:pt idx="25">
                  <c:v>19</c:v>
                </c:pt>
                <c:pt idx="26">
                  <c:v>21</c:v>
                </c:pt>
                <c:pt idx="27">
                  <c:v>24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22</c:v>
                </c:pt>
                <c:pt idx="32">
                  <c:v>20</c:v>
                </c:pt>
                <c:pt idx="33">
                  <c:v>19</c:v>
                </c:pt>
                <c:pt idx="34">
                  <c:v>19</c:v>
                </c:pt>
                <c:pt idx="35">
                  <c:v>16</c:v>
                </c:pt>
                <c:pt idx="36">
                  <c:v>18</c:v>
                </c:pt>
                <c:pt idx="37">
                  <c:v>19</c:v>
                </c:pt>
                <c:pt idx="38">
                  <c:v>16</c:v>
                </c:pt>
                <c:pt idx="39">
                  <c:v>20</c:v>
                </c:pt>
                <c:pt idx="40">
                  <c:v>22</c:v>
                </c:pt>
                <c:pt idx="41">
                  <c:v>21</c:v>
                </c:pt>
                <c:pt idx="42">
                  <c:v>25</c:v>
                </c:pt>
                <c:pt idx="43">
                  <c:v>22</c:v>
                </c:pt>
                <c:pt idx="44">
                  <c:v>20</c:v>
                </c:pt>
                <c:pt idx="45">
                  <c:v>15</c:v>
                </c:pt>
                <c:pt idx="46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CB-401E-B4F8-17350179AFE4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Demand!$K$17:$BE$17</c:f>
              <c:numCache>
                <c:formatCode>General</c:formatCode>
                <c:ptCount val="47"/>
                <c:pt idx="0">
                  <c:v>21</c:v>
                </c:pt>
                <c:pt idx="1">
                  <c:v>20</c:v>
                </c:pt>
                <c:pt idx="2">
                  <c:v>24</c:v>
                </c:pt>
                <c:pt idx="3">
                  <c:v>23</c:v>
                </c:pt>
                <c:pt idx="4">
                  <c:v>21</c:v>
                </c:pt>
                <c:pt idx="5">
                  <c:v>18</c:v>
                </c:pt>
                <c:pt idx="6">
                  <c:v>17</c:v>
                </c:pt>
                <c:pt idx="7">
                  <c:v>16</c:v>
                </c:pt>
                <c:pt idx="8">
                  <c:v>15</c:v>
                </c:pt>
                <c:pt idx="9">
                  <c:v>12</c:v>
                </c:pt>
                <c:pt idx="10">
                  <c:v>14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22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14</c:v>
                </c:pt>
                <c:pt idx="20">
                  <c:v>13</c:v>
                </c:pt>
                <c:pt idx="21">
                  <c:v>10</c:v>
                </c:pt>
                <c:pt idx="22">
                  <c:v>14</c:v>
                </c:pt>
                <c:pt idx="23">
                  <c:v>13</c:v>
                </c:pt>
                <c:pt idx="24">
                  <c:v>20</c:v>
                </c:pt>
                <c:pt idx="25">
                  <c:v>18</c:v>
                </c:pt>
                <c:pt idx="26">
                  <c:v>19</c:v>
                </c:pt>
                <c:pt idx="27">
                  <c:v>18</c:v>
                </c:pt>
                <c:pt idx="28">
                  <c:v>19</c:v>
                </c:pt>
                <c:pt idx="29">
                  <c:v>14</c:v>
                </c:pt>
                <c:pt idx="30">
                  <c:v>11</c:v>
                </c:pt>
                <c:pt idx="31">
                  <c:v>12</c:v>
                </c:pt>
                <c:pt idx="32">
                  <c:v>7</c:v>
                </c:pt>
                <c:pt idx="33">
                  <c:v>11</c:v>
                </c:pt>
                <c:pt idx="34">
                  <c:v>11</c:v>
                </c:pt>
                <c:pt idx="35">
                  <c:v>16</c:v>
                </c:pt>
                <c:pt idx="36">
                  <c:v>15</c:v>
                </c:pt>
                <c:pt idx="37">
                  <c:v>15</c:v>
                </c:pt>
                <c:pt idx="38">
                  <c:v>13</c:v>
                </c:pt>
                <c:pt idx="39">
                  <c:v>16</c:v>
                </c:pt>
                <c:pt idx="40">
                  <c:v>13</c:v>
                </c:pt>
                <c:pt idx="41">
                  <c:v>13</c:v>
                </c:pt>
                <c:pt idx="42">
                  <c:v>13</c:v>
                </c:pt>
                <c:pt idx="43">
                  <c:v>9</c:v>
                </c:pt>
                <c:pt idx="44">
                  <c:v>9</c:v>
                </c:pt>
                <c:pt idx="45">
                  <c:v>11</c:v>
                </c:pt>
                <c:pt idx="4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CB-401E-B4F8-17350179A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352640"/>
        <c:axId val="150354176"/>
      </c:lineChart>
      <c:catAx>
        <c:axId val="15035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54176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503541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526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542372881355937"/>
          <c:y val="0.40714285714285714"/>
          <c:w val="0.18644067796610164"/>
          <c:h val="0.1500000000000000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37143014336737"/>
          <c:y val="0.1510796674055313"/>
          <c:w val="0.58685715071683686"/>
          <c:h val="0.64748428888084841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Demand!$K$18:$BE$18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5</c:v>
                </c:pt>
                <c:pt idx="11">
                  <c:v>7</c:v>
                </c:pt>
                <c:pt idx="12">
                  <c:v>4</c:v>
                </c:pt>
                <c:pt idx="13">
                  <c:v>6</c:v>
                </c:pt>
                <c:pt idx="14">
                  <c:v>9</c:v>
                </c:pt>
                <c:pt idx="15">
                  <c:v>10</c:v>
                </c:pt>
                <c:pt idx="16">
                  <c:v>9</c:v>
                </c:pt>
                <c:pt idx="17">
                  <c:v>12</c:v>
                </c:pt>
                <c:pt idx="18">
                  <c:v>10</c:v>
                </c:pt>
                <c:pt idx="19">
                  <c:v>11</c:v>
                </c:pt>
                <c:pt idx="20">
                  <c:v>14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17</c:v>
                </c:pt>
                <c:pt idx="25">
                  <c:v>16</c:v>
                </c:pt>
                <c:pt idx="26">
                  <c:v>20</c:v>
                </c:pt>
                <c:pt idx="27">
                  <c:v>19</c:v>
                </c:pt>
                <c:pt idx="28">
                  <c:v>17</c:v>
                </c:pt>
                <c:pt idx="29">
                  <c:v>20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25</c:v>
                </c:pt>
                <c:pt idx="34">
                  <c:v>23</c:v>
                </c:pt>
                <c:pt idx="35">
                  <c:v>25</c:v>
                </c:pt>
                <c:pt idx="36">
                  <c:v>25</c:v>
                </c:pt>
                <c:pt idx="37">
                  <c:v>27</c:v>
                </c:pt>
                <c:pt idx="38">
                  <c:v>27</c:v>
                </c:pt>
                <c:pt idx="39">
                  <c:v>29</c:v>
                </c:pt>
                <c:pt idx="40">
                  <c:v>30</c:v>
                </c:pt>
                <c:pt idx="41">
                  <c:v>28</c:v>
                </c:pt>
                <c:pt idx="42">
                  <c:v>31</c:v>
                </c:pt>
                <c:pt idx="43">
                  <c:v>33</c:v>
                </c:pt>
                <c:pt idx="44">
                  <c:v>32</c:v>
                </c:pt>
                <c:pt idx="45">
                  <c:v>33</c:v>
                </c:pt>
                <c:pt idx="46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D7-4FC2-8310-FFC9E316E890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Demand!$K$19:$BE$19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9</c:v>
                </c:pt>
                <c:pt idx="16">
                  <c:v>11</c:v>
                </c:pt>
                <c:pt idx="17">
                  <c:v>9</c:v>
                </c:pt>
                <c:pt idx="18">
                  <c:v>11</c:v>
                </c:pt>
                <c:pt idx="19">
                  <c:v>13</c:v>
                </c:pt>
                <c:pt idx="20">
                  <c:v>13</c:v>
                </c:pt>
                <c:pt idx="21">
                  <c:v>14</c:v>
                </c:pt>
                <c:pt idx="22">
                  <c:v>14</c:v>
                </c:pt>
                <c:pt idx="23">
                  <c:v>15</c:v>
                </c:pt>
                <c:pt idx="24">
                  <c:v>17</c:v>
                </c:pt>
                <c:pt idx="25">
                  <c:v>15</c:v>
                </c:pt>
                <c:pt idx="26">
                  <c:v>17</c:v>
                </c:pt>
                <c:pt idx="27">
                  <c:v>16</c:v>
                </c:pt>
                <c:pt idx="28">
                  <c:v>18</c:v>
                </c:pt>
                <c:pt idx="29">
                  <c:v>19</c:v>
                </c:pt>
                <c:pt idx="30">
                  <c:v>21</c:v>
                </c:pt>
                <c:pt idx="31">
                  <c:v>23</c:v>
                </c:pt>
                <c:pt idx="32">
                  <c:v>22</c:v>
                </c:pt>
                <c:pt idx="33">
                  <c:v>25</c:v>
                </c:pt>
                <c:pt idx="34">
                  <c:v>25</c:v>
                </c:pt>
                <c:pt idx="35">
                  <c:v>24</c:v>
                </c:pt>
                <c:pt idx="36">
                  <c:v>24</c:v>
                </c:pt>
                <c:pt idx="37">
                  <c:v>25</c:v>
                </c:pt>
                <c:pt idx="38">
                  <c:v>27</c:v>
                </c:pt>
                <c:pt idx="39">
                  <c:v>27</c:v>
                </c:pt>
                <c:pt idx="40">
                  <c:v>28</c:v>
                </c:pt>
                <c:pt idx="41">
                  <c:v>29</c:v>
                </c:pt>
                <c:pt idx="42">
                  <c:v>30</c:v>
                </c:pt>
                <c:pt idx="43">
                  <c:v>32</c:v>
                </c:pt>
                <c:pt idx="44">
                  <c:v>31</c:v>
                </c:pt>
                <c:pt idx="45">
                  <c:v>32</c:v>
                </c:pt>
                <c:pt idx="46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D7-4FC2-8310-FFC9E316E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371712"/>
        <c:axId val="150381696"/>
      </c:lineChart>
      <c:catAx>
        <c:axId val="150371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81696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503816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717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117715919312911"/>
          <c:y val="0.41007345304858478"/>
          <c:w val="0.20657375574532055"/>
          <c:h val="0.1510798919919182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63661584831287"/>
          <c:y val="0.1510796674055313"/>
          <c:w val="0.60000133167909198"/>
          <c:h val="0.64748428888084841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Demand!$K$20:$BE$20</c:f>
              <c:numCache>
                <c:formatCode>General</c:formatCode>
                <c:ptCount val="47"/>
                <c:pt idx="0">
                  <c:v>33</c:v>
                </c:pt>
                <c:pt idx="1">
                  <c:v>31</c:v>
                </c:pt>
                <c:pt idx="2">
                  <c:v>28</c:v>
                </c:pt>
                <c:pt idx="3">
                  <c:v>29</c:v>
                </c:pt>
                <c:pt idx="4">
                  <c:v>31</c:v>
                </c:pt>
                <c:pt idx="5">
                  <c:v>35</c:v>
                </c:pt>
                <c:pt idx="6">
                  <c:v>37</c:v>
                </c:pt>
                <c:pt idx="7">
                  <c:v>39</c:v>
                </c:pt>
                <c:pt idx="8">
                  <c:v>40</c:v>
                </c:pt>
                <c:pt idx="9">
                  <c:v>36</c:v>
                </c:pt>
                <c:pt idx="10">
                  <c:v>34</c:v>
                </c:pt>
                <c:pt idx="11">
                  <c:v>30</c:v>
                </c:pt>
                <c:pt idx="12">
                  <c:v>27</c:v>
                </c:pt>
                <c:pt idx="13">
                  <c:v>25</c:v>
                </c:pt>
                <c:pt idx="14">
                  <c:v>24</c:v>
                </c:pt>
                <c:pt idx="15">
                  <c:v>24</c:v>
                </c:pt>
                <c:pt idx="16">
                  <c:v>25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29</c:v>
                </c:pt>
                <c:pt idx="21">
                  <c:v>25</c:v>
                </c:pt>
                <c:pt idx="22">
                  <c:v>24</c:v>
                </c:pt>
                <c:pt idx="23">
                  <c:v>22</c:v>
                </c:pt>
                <c:pt idx="24">
                  <c:v>19</c:v>
                </c:pt>
                <c:pt idx="25">
                  <c:v>17</c:v>
                </c:pt>
                <c:pt idx="26">
                  <c:v>15</c:v>
                </c:pt>
                <c:pt idx="27">
                  <c:v>18</c:v>
                </c:pt>
                <c:pt idx="28">
                  <c:v>18</c:v>
                </c:pt>
                <c:pt idx="29">
                  <c:v>18</c:v>
                </c:pt>
                <c:pt idx="30">
                  <c:v>20</c:v>
                </c:pt>
                <c:pt idx="31">
                  <c:v>19</c:v>
                </c:pt>
                <c:pt idx="32">
                  <c:v>20</c:v>
                </c:pt>
                <c:pt idx="33">
                  <c:v>19</c:v>
                </c:pt>
                <c:pt idx="34">
                  <c:v>15</c:v>
                </c:pt>
                <c:pt idx="35">
                  <c:v>14</c:v>
                </c:pt>
                <c:pt idx="36">
                  <c:v>11</c:v>
                </c:pt>
                <c:pt idx="37">
                  <c:v>11</c:v>
                </c:pt>
                <c:pt idx="38">
                  <c:v>9</c:v>
                </c:pt>
                <c:pt idx="39">
                  <c:v>8</c:v>
                </c:pt>
                <c:pt idx="40">
                  <c:v>8</c:v>
                </c:pt>
                <c:pt idx="41">
                  <c:v>11</c:v>
                </c:pt>
                <c:pt idx="42">
                  <c:v>9</c:v>
                </c:pt>
                <c:pt idx="43">
                  <c:v>8</c:v>
                </c:pt>
                <c:pt idx="44">
                  <c:v>8</c:v>
                </c:pt>
                <c:pt idx="45">
                  <c:v>7</c:v>
                </c:pt>
                <c:pt idx="4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49-4F7A-BE91-01DFE0D8E351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Demand!$K$21:$BE$21</c:f>
              <c:numCache>
                <c:formatCode>General</c:formatCode>
                <c:ptCount val="47"/>
                <c:pt idx="0">
                  <c:v>30</c:v>
                </c:pt>
                <c:pt idx="1">
                  <c:v>27</c:v>
                </c:pt>
                <c:pt idx="2">
                  <c:v>25</c:v>
                </c:pt>
                <c:pt idx="3">
                  <c:v>22</c:v>
                </c:pt>
                <c:pt idx="4">
                  <c:v>19</c:v>
                </c:pt>
                <c:pt idx="5">
                  <c:v>16</c:v>
                </c:pt>
                <c:pt idx="6">
                  <c:v>19</c:v>
                </c:pt>
                <c:pt idx="7">
                  <c:v>21</c:v>
                </c:pt>
                <c:pt idx="8">
                  <c:v>22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23</c:v>
                </c:pt>
                <c:pt idx="13">
                  <c:v>22</c:v>
                </c:pt>
                <c:pt idx="14">
                  <c:v>19</c:v>
                </c:pt>
                <c:pt idx="15">
                  <c:v>16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15</c:v>
                </c:pt>
                <c:pt idx="20">
                  <c:v>18</c:v>
                </c:pt>
                <c:pt idx="21">
                  <c:v>17</c:v>
                </c:pt>
                <c:pt idx="22">
                  <c:v>18</c:v>
                </c:pt>
                <c:pt idx="23">
                  <c:v>18</c:v>
                </c:pt>
                <c:pt idx="24">
                  <c:v>17</c:v>
                </c:pt>
                <c:pt idx="25">
                  <c:v>15</c:v>
                </c:pt>
                <c:pt idx="26">
                  <c:v>14</c:v>
                </c:pt>
                <c:pt idx="27">
                  <c:v>11</c:v>
                </c:pt>
                <c:pt idx="28">
                  <c:v>11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12</c:v>
                </c:pt>
                <c:pt idx="33">
                  <c:v>11</c:v>
                </c:pt>
                <c:pt idx="34">
                  <c:v>13</c:v>
                </c:pt>
                <c:pt idx="35">
                  <c:v>11</c:v>
                </c:pt>
                <c:pt idx="36">
                  <c:v>12</c:v>
                </c:pt>
                <c:pt idx="37">
                  <c:v>10</c:v>
                </c:pt>
                <c:pt idx="38">
                  <c:v>8</c:v>
                </c:pt>
                <c:pt idx="39">
                  <c:v>6</c:v>
                </c:pt>
                <c:pt idx="40">
                  <c:v>5</c:v>
                </c:pt>
                <c:pt idx="41">
                  <c:v>4</c:v>
                </c:pt>
                <c:pt idx="42">
                  <c:v>6</c:v>
                </c:pt>
                <c:pt idx="43">
                  <c:v>5</c:v>
                </c:pt>
                <c:pt idx="44">
                  <c:v>7</c:v>
                </c:pt>
                <c:pt idx="45">
                  <c:v>4</c:v>
                </c:pt>
                <c:pt idx="4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49-4F7A-BE91-01DFE0D8E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399232"/>
        <c:axId val="150470656"/>
      </c:lineChart>
      <c:catAx>
        <c:axId val="150399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470656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504706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992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363827248866623"/>
          <c:y val="0.41007345304858478"/>
          <c:w val="0.20000047721307557"/>
          <c:h val="0.1510798919919182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682269645949653"/>
          <c:y val="0.15217498991585934"/>
          <c:w val="0.58878639015586243"/>
          <c:h val="0.64493210011959434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Demand!$K$22:$BE$22</c:f>
              <c:numCache>
                <c:formatCode>General</c:formatCode>
                <c:ptCount val="47"/>
                <c:pt idx="0">
                  <c:v>24</c:v>
                </c:pt>
                <c:pt idx="1">
                  <c:v>25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23</c:v>
                </c:pt>
                <c:pt idx="6">
                  <c:v>20</c:v>
                </c:pt>
                <c:pt idx="7">
                  <c:v>19</c:v>
                </c:pt>
                <c:pt idx="8">
                  <c:v>19</c:v>
                </c:pt>
                <c:pt idx="9">
                  <c:v>22</c:v>
                </c:pt>
                <c:pt idx="10">
                  <c:v>20</c:v>
                </c:pt>
                <c:pt idx="11">
                  <c:v>22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24</c:v>
                </c:pt>
                <c:pt idx="16">
                  <c:v>23</c:v>
                </c:pt>
                <c:pt idx="17">
                  <c:v>22</c:v>
                </c:pt>
                <c:pt idx="18">
                  <c:v>21</c:v>
                </c:pt>
                <c:pt idx="19">
                  <c:v>22</c:v>
                </c:pt>
                <c:pt idx="20">
                  <c:v>18</c:v>
                </c:pt>
                <c:pt idx="21">
                  <c:v>19</c:v>
                </c:pt>
                <c:pt idx="22">
                  <c:v>21</c:v>
                </c:pt>
                <c:pt idx="23">
                  <c:v>22</c:v>
                </c:pt>
                <c:pt idx="24">
                  <c:v>25</c:v>
                </c:pt>
                <c:pt idx="25">
                  <c:v>24</c:v>
                </c:pt>
                <c:pt idx="26">
                  <c:v>25</c:v>
                </c:pt>
                <c:pt idx="27">
                  <c:v>25</c:v>
                </c:pt>
                <c:pt idx="28">
                  <c:v>24</c:v>
                </c:pt>
                <c:pt idx="29">
                  <c:v>21</c:v>
                </c:pt>
                <c:pt idx="30">
                  <c:v>18</c:v>
                </c:pt>
                <c:pt idx="31">
                  <c:v>19</c:v>
                </c:pt>
                <c:pt idx="32">
                  <c:v>20</c:v>
                </c:pt>
                <c:pt idx="33">
                  <c:v>21</c:v>
                </c:pt>
                <c:pt idx="34">
                  <c:v>22</c:v>
                </c:pt>
                <c:pt idx="35">
                  <c:v>22</c:v>
                </c:pt>
                <c:pt idx="36">
                  <c:v>24</c:v>
                </c:pt>
                <c:pt idx="37">
                  <c:v>23</c:v>
                </c:pt>
                <c:pt idx="38">
                  <c:v>24</c:v>
                </c:pt>
                <c:pt idx="39">
                  <c:v>24</c:v>
                </c:pt>
                <c:pt idx="40">
                  <c:v>23</c:v>
                </c:pt>
                <c:pt idx="41">
                  <c:v>22</c:v>
                </c:pt>
                <c:pt idx="42">
                  <c:v>22</c:v>
                </c:pt>
                <c:pt idx="43">
                  <c:v>20</c:v>
                </c:pt>
                <c:pt idx="44">
                  <c:v>20</c:v>
                </c:pt>
                <c:pt idx="45">
                  <c:v>19</c:v>
                </c:pt>
                <c:pt idx="4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E0-46E4-85C1-E2FCC0956F44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Demand!$K$23:$BE$23</c:f>
              <c:numCache>
                <c:formatCode>General</c:formatCode>
                <c:ptCount val="47"/>
                <c:pt idx="0">
                  <c:v>16</c:v>
                </c:pt>
                <c:pt idx="1">
                  <c:v>15</c:v>
                </c:pt>
                <c:pt idx="2">
                  <c:v>18</c:v>
                </c:pt>
                <c:pt idx="3">
                  <c:v>16</c:v>
                </c:pt>
                <c:pt idx="4">
                  <c:v>15</c:v>
                </c:pt>
                <c:pt idx="5">
                  <c:v>14</c:v>
                </c:pt>
                <c:pt idx="6">
                  <c:v>15</c:v>
                </c:pt>
                <c:pt idx="7">
                  <c:v>13</c:v>
                </c:pt>
                <c:pt idx="8">
                  <c:v>13</c:v>
                </c:pt>
                <c:pt idx="9">
                  <c:v>14</c:v>
                </c:pt>
                <c:pt idx="10">
                  <c:v>17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15</c:v>
                </c:pt>
                <c:pt idx="15">
                  <c:v>17</c:v>
                </c:pt>
                <c:pt idx="16">
                  <c:v>18</c:v>
                </c:pt>
                <c:pt idx="17">
                  <c:v>15</c:v>
                </c:pt>
                <c:pt idx="18">
                  <c:v>14</c:v>
                </c:pt>
                <c:pt idx="19">
                  <c:v>14</c:v>
                </c:pt>
                <c:pt idx="20">
                  <c:v>12</c:v>
                </c:pt>
                <c:pt idx="21">
                  <c:v>14</c:v>
                </c:pt>
                <c:pt idx="22">
                  <c:v>15</c:v>
                </c:pt>
                <c:pt idx="23">
                  <c:v>14</c:v>
                </c:pt>
                <c:pt idx="24">
                  <c:v>18</c:v>
                </c:pt>
                <c:pt idx="25">
                  <c:v>15</c:v>
                </c:pt>
                <c:pt idx="26">
                  <c:v>16</c:v>
                </c:pt>
                <c:pt idx="27">
                  <c:v>15</c:v>
                </c:pt>
                <c:pt idx="28">
                  <c:v>15</c:v>
                </c:pt>
                <c:pt idx="29">
                  <c:v>16</c:v>
                </c:pt>
                <c:pt idx="30">
                  <c:v>14</c:v>
                </c:pt>
                <c:pt idx="31">
                  <c:v>13</c:v>
                </c:pt>
                <c:pt idx="32">
                  <c:v>14</c:v>
                </c:pt>
                <c:pt idx="33">
                  <c:v>12</c:v>
                </c:pt>
                <c:pt idx="34">
                  <c:v>16</c:v>
                </c:pt>
                <c:pt idx="35">
                  <c:v>15</c:v>
                </c:pt>
                <c:pt idx="36">
                  <c:v>17</c:v>
                </c:pt>
                <c:pt idx="37">
                  <c:v>16</c:v>
                </c:pt>
                <c:pt idx="38">
                  <c:v>15</c:v>
                </c:pt>
                <c:pt idx="39">
                  <c:v>15</c:v>
                </c:pt>
                <c:pt idx="40">
                  <c:v>14</c:v>
                </c:pt>
                <c:pt idx="41">
                  <c:v>16</c:v>
                </c:pt>
                <c:pt idx="42">
                  <c:v>15</c:v>
                </c:pt>
                <c:pt idx="43">
                  <c:v>13</c:v>
                </c:pt>
                <c:pt idx="44">
                  <c:v>14</c:v>
                </c:pt>
                <c:pt idx="45">
                  <c:v>12</c:v>
                </c:pt>
                <c:pt idx="46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E0-46E4-85C1-E2FCC0956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003712"/>
        <c:axId val="152005248"/>
      </c:lineChart>
      <c:catAx>
        <c:axId val="152003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2005248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520052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20037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233792037677538"/>
          <c:y val="0.39855376773555479"/>
          <c:w val="0.20560796722839547"/>
          <c:h val="0.1521746738179466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Demand!$J$24</c:f>
              <c:strCache>
                <c:ptCount val="1"/>
                <c:pt idx="0">
                  <c:v>Total nectar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Demand!$K$24:$BF$24</c:f>
              <c:numCache>
                <c:formatCode>General</c:formatCode>
                <c:ptCount val="48"/>
                <c:pt idx="0">
                  <c:v>195</c:v>
                </c:pt>
                <c:pt idx="1">
                  <c:v>195</c:v>
                </c:pt>
                <c:pt idx="2">
                  <c:v>189</c:v>
                </c:pt>
                <c:pt idx="3">
                  <c:v>193</c:v>
                </c:pt>
                <c:pt idx="4">
                  <c:v>200</c:v>
                </c:pt>
                <c:pt idx="5">
                  <c:v>210</c:v>
                </c:pt>
                <c:pt idx="6">
                  <c:v>205</c:v>
                </c:pt>
                <c:pt idx="7">
                  <c:v>205</c:v>
                </c:pt>
                <c:pt idx="8">
                  <c:v>206</c:v>
                </c:pt>
                <c:pt idx="9">
                  <c:v>196</c:v>
                </c:pt>
                <c:pt idx="10">
                  <c:v>203</c:v>
                </c:pt>
                <c:pt idx="11">
                  <c:v>201</c:v>
                </c:pt>
                <c:pt idx="12">
                  <c:v>202</c:v>
                </c:pt>
                <c:pt idx="13">
                  <c:v>196</c:v>
                </c:pt>
                <c:pt idx="14">
                  <c:v>220</c:v>
                </c:pt>
                <c:pt idx="15">
                  <c:v>212</c:v>
                </c:pt>
                <c:pt idx="16">
                  <c:v>212</c:v>
                </c:pt>
                <c:pt idx="17">
                  <c:v>212</c:v>
                </c:pt>
                <c:pt idx="18">
                  <c:v>220</c:v>
                </c:pt>
                <c:pt idx="19">
                  <c:v>217</c:v>
                </c:pt>
                <c:pt idx="20">
                  <c:v>215</c:v>
                </c:pt>
                <c:pt idx="21">
                  <c:v>210</c:v>
                </c:pt>
                <c:pt idx="22">
                  <c:v>208</c:v>
                </c:pt>
                <c:pt idx="23">
                  <c:v>207</c:v>
                </c:pt>
                <c:pt idx="24">
                  <c:v>211</c:v>
                </c:pt>
                <c:pt idx="25">
                  <c:v>210</c:v>
                </c:pt>
                <c:pt idx="26">
                  <c:v>215</c:v>
                </c:pt>
                <c:pt idx="27">
                  <c:v>216</c:v>
                </c:pt>
                <c:pt idx="28">
                  <c:v>209</c:v>
                </c:pt>
                <c:pt idx="29">
                  <c:v>213</c:v>
                </c:pt>
                <c:pt idx="30">
                  <c:v>215</c:v>
                </c:pt>
                <c:pt idx="31">
                  <c:v>208</c:v>
                </c:pt>
                <c:pt idx="32">
                  <c:v>216</c:v>
                </c:pt>
                <c:pt idx="33">
                  <c:v>213</c:v>
                </c:pt>
                <c:pt idx="34">
                  <c:v>218</c:v>
                </c:pt>
                <c:pt idx="35">
                  <c:v>214</c:v>
                </c:pt>
                <c:pt idx="36">
                  <c:v>222</c:v>
                </c:pt>
                <c:pt idx="37">
                  <c:v>232</c:v>
                </c:pt>
                <c:pt idx="38">
                  <c:v>228</c:v>
                </c:pt>
                <c:pt idx="39">
                  <c:v>231</c:v>
                </c:pt>
                <c:pt idx="40">
                  <c:v>237</c:v>
                </c:pt>
                <c:pt idx="41">
                  <c:v>232</c:v>
                </c:pt>
                <c:pt idx="42">
                  <c:v>234</c:v>
                </c:pt>
                <c:pt idx="43">
                  <c:v>228</c:v>
                </c:pt>
                <c:pt idx="44">
                  <c:v>224</c:v>
                </c:pt>
                <c:pt idx="45">
                  <c:v>212</c:v>
                </c:pt>
                <c:pt idx="46">
                  <c:v>214</c:v>
                </c:pt>
                <c:pt idx="47">
                  <c:v>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50-47B7-BA01-29474966105F}"/>
            </c:ext>
          </c:extLst>
        </c:ser>
        <c:ser>
          <c:idx val="1"/>
          <c:order val="1"/>
          <c:tx>
            <c:strRef>
              <c:f>Demand!$J$25</c:f>
              <c:strCache>
                <c:ptCount val="1"/>
                <c:pt idx="0">
                  <c:v>Total cordial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Demand!$K$25:$BF$25</c:f>
              <c:numCache>
                <c:formatCode>General</c:formatCode>
                <c:ptCount val="48"/>
                <c:pt idx="0">
                  <c:v>130</c:v>
                </c:pt>
                <c:pt idx="1">
                  <c:v>118</c:v>
                </c:pt>
                <c:pt idx="2">
                  <c:v>131</c:v>
                </c:pt>
                <c:pt idx="3">
                  <c:v>132</c:v>
                </c:pt>
                <c:pt idx="4">
                  <c:v>122</c:v>
                </c:pt>
                <c:pt idx="5">
                  <c:v>119</c:v>
                </c:pt>
                <c:pt idx="6">
                  <c:v>126</c:v>
                </c:pt>
                <c:pt idx="7">
                  <c:v>126</c:v>
                </c:pt>
                <c:pt idx="8">
                  <c:v>134</c:v>
                </c:pt>
                <c:pt idx="9">
                  <c:v>131</c:v>
                </c:pt>
                <c:pt idx="10">
                  <c:v>135</c:v>
                </c:pt>
                <c:pt idx="11">
                  <c:v>135</c:v>
                </c:pt>
                <c:pt idx="12">
                  <c:v>139</c:v>
                </c:pt>
                <c:pt idx="13">
                  <c:v>144</c:v>
                </c:pt>
                <c:pt idx="14">
                  <c:v>145</c:v>
                </c:pt>
                <c:pt idx="15">
                  <c:v>146</c:v>
                </c:pt>
                <c:pt idx="16">
                  <c:v>150</c:v>
                </c:pt>
                <c:pt idx="17">
                  <c:v>138</c:v>
                </c:pt>
                <c:pt idx="18">
                  <c:v>143</c:v>
                </c:pt>
                <c:pt idx="19">
                  <c:v>146</c:v>
                </c:pt>
                <c:pt idx="20">
                  <c:v>148</c:v>
                </c:pt>
                <c:pt idx="21">
                  <c:v>146</c:v>
                </c:pt>
                <c:pt idx="22">
                  <c:v>151</c:v>
                </c:pt>
                <c:pt idx="23">
                  <c:v>152</c:v>
                </c:pt>
                <c:pt idx="24">
                  <c:v>163</c:v>
                </c:pt>
                <c:pt idx="25">
                  <c:v>155</c:v>
                </c:pt>
                <c:pt idx="26">
                  <c:v>163</c:v>
                </c:pt>
                <c:pt idx="27">
                  <c:v>153</c:v>
                </c:pt>
                <c:pt idx="28">
                  <c:v>153</c:v>
                </c:pt>
                <c:pt idx="29">
                  <c:v>156</c:v>
                </c:pt>
                <c:pt idx="30">
                  <c:v>156</c:v>
                </c:pt>
                <c:pt idx="31">
                  <c:v>156</c:v>
                </c:pt>
                <c:pt idx="32">
                  <c:v>153</c:v>
                </c:pt>
                <c:pt idx="33">
                  <c:v>163</c:v>
                </c:pt>
                <c:pt idx="34">
                  <c:v>164</c:v>
                </c:pt>
                <c:pt idx="35">
                  <c:v>159</c:v>
                </c:pt>
                <c:pt idx="36">
                  <c:v>169</c:v>
                </c:pt>
                <c:pt idx="37">
                  <c:v>169</c:v>
                </c:pt>
                <c:pt idx="38">
                  <c:v>174</c:v>
                </c:pt>
                <c:pt idx="39">
                  <c:v>177</c:v>
                </c:pt>
                <c:pt idx="40">
                  <c:v>183</c:v>
                </c:pt>
                <c:pt idx="41">
                  <c:v>182</c:v>
                </c:pt>
                <c:pt idx="42">
                  <c:v>185</c:v>
                </c:pt>
                <c:pt idx="43">
                  <c:v>176</c:v>
                </c:pt>
                <c:pt idx="44">
                  <c:v>177</c:v>
                </c:pt>
                <c:pt idx="45">
                  <c:v>179</c:v>
                </c:pt>
                <c:pt idx="46">
                  <c:v>171</c:v>
                </c:pt>
                <c:pt idx="47">
                  <c:v>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50-47B7-BA01-294749661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4600208"/>
        <c:axId val="1800623456"/>
      </c:lineChart>
      <c:catAx>
        <c:axId val="1844600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0623456"/>
        <c:crosses val="autoZero"/>
        <c:auto val="1"/>
        <c:lblAlgn val="ctr"/>
        <c:lblOffset val="100"/>
        <c:noMultiLvlLbl val="0"/>
      </c:catAx>
      <c:valAx>
        <c:axId val="180062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460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25</xdr:row>
      <xdr:rowOff>85725</xdr:rowOff>
    </xdr:from>
    <xdr:to>
      <xdr:col>5</xdr:col>
      <xdr:colOff>85725</xdr:colOff>
      <xdr:row>34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E002E4-C3AE-474A-81B3-BABC074B32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123825</xdr:colOff>
      <xdr:row>25</xdr:row>
      <xdr:rowOff>104775</xdr:rowOff>
    </xdr:from>
    <xdr:to>
      <xdr:col>8</xdr:col>
      <xdr:colOff>314325</xdr:colOff>
      <xdr:row>34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BDA3A6-934D-4C47-BA97-27B95F9320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390525</xdr:colOff>
      <xdr:row>25</xdr:row>
      <xdr:rowOff>104775</xdr:rowOff>
    </xdr:from>
    <xdr:to>
      <xdr:col>14</xdr:col>
      <xdr:colOff>257175</xdr:colOff>
      <xdr:row>34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36074D-FF30-4212-A667-7E32D54949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38100</xdr:colOff>
      <xdr:row>25</xdr:row>
      <xdr:rowOff>142875</xdr:rowOff>
    </xdr:from>
    <xdr:to>
      <xdr:col>22</xdr:col>
      <xdr:colOff>219075</xdr:colOff>
      <xdr:row>34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79D5348-14EC-4E84-A783-FA46A2F59E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38100</xdr:colOff>
      <xdr:row>25</xdr:row>
      <xdr:rowOff>152400</xdr:rowOff>
    </xdr:from>
    <xdr:to>
      <xdr:col>30</xdr:col>
      <xdr:colOff>152400</xdr:colOff>
      <xdr:row>34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845CBB-502B-49F2-A0C4-F8149E6427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66675</xdr:colOff>
      <xdr:row>35</xdr:row>
      <xdr:rowOff>19050</xdr:rowOff>
    </xdr:from>
    <xdr:to>
      <xdr:col>5</xdr:col>
      <xdr:colOff>95250</xdr:colOff>
      <xdr:row>43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CEB036B-9BD2-4A21-A5F2-50130EE2DB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152400</xdr:colOff>
      <xdr:row>35</xdr:row>
      <xdr:rowOff>38100</xdr:rowOff>
    </xdr:from>
    <xdr:to>
      <xdr:col>8</xdr:col>
      <xdr:colOff>314325</xdr:colOff>
      <xdr:row>43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B91BF66-AE0E-4420-9DBF-3DCBE05C7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400050</xdr:colOff>
      <xdr:row>35</xdr:row>
      <xdr:rowOff>38100</xdr:rowOff>
    </xdr:from>
    <xdr:to>
      <xdr:col>15</xdr:col>
      <xdr:colOff>0</xdr:colOff>
      <xdr:row>43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CE3F527-922F-41EB-8598-02975C660A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47625</xdr:colOff>
      <xdr:row>35</xdr:row>
      <xdr:rowOff>38100</xdr:rowOff>
    </xdr:from>
    <xdr:to>
      <xdr:col>22</xdr:col>
      <xdr:colOff>209550</xdr:colOff>
      <xdr:row>43</xdr:row>
      <xdr:rowOff>66675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B94DFFE-7A7B-4E06-BE52-0920D10819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47625</xdr:colOff>
      <xdr:row>35</xdr:row>
      <xdr:rowOff>38100</xdr:rowOff>
    </xdr:from>
    <xdr:to>
      <xdr:col>30</xdr:col>
      <xdr:colOff>152400</xdr:colOff>
      <xdr:row>43</xdr:row>
      <xdr:rowOff>57150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A34845A-9A78-4C0E-9148-CF0F0933FB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220980</xdr:colOff>
          <xdr:row>44</xdr:row>
          <xdr:rowOff>38100</xdr:rowOff>
        </xdr:from>
        <xdr:to>
          <xdr:col>19</xdr:col>
          <xdr:colOff>198120</xdr:colOff>
          <xdr:row>46</xdr:row>
          <xdr:rowOff>83820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7009A40D-8836-4DA3-9797-46DC975112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Historique</a:t>
              </a:r>
            </a:p>
          </xdr:txBody>
        </xdr:sp>
        <xdr:clientData fPrintsWithSheet="0"/>
      </xdr:twoCellAnchor>
    </mc:Choice>
    <mc:Fallback/>
  </mc:AlternateContent>
  <xdr:twoCellAnchor>
    <xdr:from>
      <xdr:col>35</xdr:col>
      <xdr:colOff>133350</xdr:colOff>
      <xdr:row>26</xdr:row>
      <xdr:rowOff>47625</xdr:rowOff>
    </xdr:from>
    <xdr:to>
      <xdr:col>52</xdr:col>
      <xdr:colOff>9525</xdr:colOff>
      <xdr:row>43</xdr:row>
      <xdr:rowOff>38100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8262A322-98A7-4617-9CF8-5B4C29084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13</xdr:row>
      <xdr:rowOff>0</xdr:rowOff>
    </xdr:from>
    <xdr:to>
      <xdr:col>3</xdr:col>
      <xdr:colOff>390525</xdr:colOff>
      <xdr:row>14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D163C735-D1A6-4FBD-A1C8-D837523244EC}"/>
            </a:ext>
          </a:extLst>
        </xdr:cNvPr>
        <xdr:cNvSpPr>
          <a:spLocks noChangeShapeType="1"/>
        </xdr:cNvSpPr>
      </xdr:nvSpPr>
      <xdr:spPr bwMode="auto">
        <a:xfrm flipV="1">
          <a:off x="2165985" y="406908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400050</xdr:colOff>
      <xdr:row>11</xdr:row>
      <xdr:rowOff>381000</xdr:rowOff>
    </xdr:from>
    <xdr:to>
      <xdr:col>5</xdr:col>
      <xdr:colOff>400050</xdr:colOff>
      <xdr:row>12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CEF75F7-BD67-4524-AB73-CABF1EBABA20}"/>
            </a:ext>
          </a:extLst>
        </xdr:cNvPr>
        <xdr:cNvSpPr>
          <a:spLocks noChangeShapeType="1"/>
        </xdr:cNvSpPr>
      </xdr:nvSpPr>
      <xdr:spPr bwMode="auto">
        <a:xfrm flipV="1">
          <a:off x="3684270" y="3512820"/>
          <a:ext cx="0" cy="205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11</xdr:row>
      <xdr:rowOff>381000</xdr:rowOff>
    </xdr:from>
    <xdr:to>
      <xdr:col>5</xdr:col>
      <xdr:colOff>400050</xdr:colOff>
      <xdr:row>11</xdr:row>
      <xdr:rowOff>381000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5BE69517-6020-4726-9B1D-A2D751719AFE}"/>
            </a:ext>
          </a:extLst>
        </xdr:cNvPr>
        <xdr:cNvSpPr>
          <a:spLocks noChangeShapeType="1"/>
        </xdr:cNvSpPr>
      </xdr:nvSpPr>
      <xdr:spPr bwMode="auto">
        <a:xfrm flipH="1">
          <a:off x="2165985" y="3512820"/>
          <a:ext cx="151828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371475</xdr:colOff>
      <xdr:row>9</xdr:row>
      <xdr:rowOff>361950</xdr:rowOff>
    </xdr:from>
    <xdr:to>
      <xdr:col>7</xdr:col>
      <xdr:colOff>371475</xdr:colOff>
      <xdr:row>9</xdr:row>
      <xdr:rowOff>895350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1B97171C-E47D-46B4-941D-9869451BC154}"/>
            </a:ext>
          </a:extLst>
        </xdr:cNvPr>
        <xdr:cNvSpPr>
          <a:spLocks noChangeShapeType="1"/>
        </xdr:cNvSpPr>
      </xdr:nvSpPr>
      <xdr:spPr bwMode="auto">
        <a:xfrm flipV="1">
          <a:off x="4806315" y="2343150"/>
          <a:ext cx="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342900</xdr:colOff>
      <xdr:row>9</xdr:row>
      <xdr:rowOff>361950</xdr:rowOff>
    </xdr:from>
    <xdr:to>
      <xdr:col>7</xdr:col>
      <xdr:colOff>371475</xdr:colOff>
      <xdr:row>9</xdr:row>
      <xdr:rowOff>361950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B6A9448-28B0-43F9-A60C-3870F52C703B}"/>
            </a:ext>
          </a:extLst>
        </xdr:cNvPr>
        <xdr:cNvSpPr>
          <a:spLocks noChangeShapeType="1"/>
        </xdr:cNvSpPr>
      </xdr:nvSpPr>
      <xdr:spPr bwMode="auto">
        <a:xfrm flipH="1">
          <a:off x="2872740" y="2343150"/>
          <a:ext cx="1933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400050</xdr:colOff>
      <xdr:row>8</xdr:row>
      <xdr:rowOff>619125</xdr:rowOff>
    </xdr:from>
    <xdr:to>
      <xdr:col>5</xdr:col>
      <xdr:colOff>400050</xdr:colOff>
      <xdr:row>9</xdr:row>
      <xdr:rowOff>361950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574B2DF7-CD95-4FC8-A4F6-60AEC7E84FD7}"/>
            </a:ext>
          </a:extLst>
        </xdr:cNvPr>
        <xdr:cNvSpPr>
          <a:spLocks noChangeShapeType="1"/>
        </xdr:cNvSpPr>
      </xdr:nvSpPr>
      <xdr:spPr bwMode="auto">
        <a:xfrm flipV="1">
          <a:off x="3684270" y="1967865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342900</xdr:colOff>
      <xdr:row>9</xdr:row>
      <xdr:rowOff>361950</xdr:rowOff>
    </xdr:from>
    <xdr:to>
      <xdr:col>4</xdr:col>
      <xdr:colOff>342900</xdr:colOff>
      <xdr:row>10</xdr:row>
      <xdr:rowOff>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6E60A59A-D626-4345-BC1F-81EBC3A8F4EC}"/>
            </a:ext>
          </a:extLst>
        </xdr:cNvPr>
        <xdr:cNvSpPr>
          <a:spLocks noChangeShapeType="1"/>
        </xdr:cNvSpPr>
      </xdr:nvSpPr>
      <xdr:spPr bwMode="auto">
        <a:xfrm>
          <a:off x="2872740" y="2343150"/>
          <a:ext cx="0" cy="15621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11</xdr:row>
      <xdr:rowOff>390525</xdr:rowOff>
    </xdr:from>
    <xdr:to>
      <xdr:col>3</xdr:col>
      <xdr:colOff>390525</xdr:colOff>
      <xdr:row>12</xdr:row>
      <xdr:rowOff>0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6AC06853-80E0-4377-97E8-41208635C945}"/>
            </a:ext>
          </a:extLst>
        </xdr:cNvPr>
        <xdr:cNvSpPr>
          <a:spLocks noChangeShapeType="1"/>
        </xdr:cNvSpPr>
      </xdr:nvSpPr>
      <xdr:spPr bwMode="auto">
        <a:xfrm>
          <a:off x="2165985" y="3522345"/>
          <a:ext cx="0" cy="19621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361950</xdr:colOff>
      <xdr:row>10</xdr:row>
      <xdr:rowOff>628650</xdr:rowOff>
    </xdr:from>
    <xdr:to>
      <xdr:col>4</xdr:col>
      <xdr:colOff>361950</xdr:colOff>
      <xdr:row>11</xdr:row>
      <xdr:rowOff>371475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1F513695-E587-4A24-990F-17E7C433328D}"/>
            </a:ext>
          </a:extLst>
        </xdr:cNvPr>
        <xdr:cNvSpPr>
          <a:spLocks noChangeShapeType="1"/>
        </xdr:cNvSpPr>
      </xdr:nvSpPr>
      <xdr:spPr bwMode="auto">
        <a:xfrm flipV="1">
          <a:off x="2891790" y="3128010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11</xdr:row>
      <xdr:rowOff>142875</xdr:rowOff>
    </xdr:from>
    <xdr:to>
      <xdr:col>9</xdr:col>
      <xdr:colOff>0</xdr:colOff>
      <xdr:row>11</xdr:row>
      <xdr:rowOff>142875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CA3CEFD3-DA2E-4F38-8C0B-86C3A90FA157}"/>
            </a:ext>
          </a:extLst>
        </xdr:cNvPr>
        <xdr:cNvSpPr>
          <a:spLocks noChangeShapeType="1"/>
        </xdr:cNvSpPr>
      </xdr:nvSpPr>
      <xdr:spPr bwMode="auto">
        <a:xfrm flipH="1">
          <a:off x="5737860" y="327469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9</xdr:row>
      <xdr:rowOff>142875</xdr:rowOff>
    </xdr:from>
    <xdr:to>
      <xdr:col>9</xdr:col>
      <xdr:colOff>0</xdr:colOff>
      <xdr:row>9</xdr:row>
      <xdr:rowOff>142875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13B64038-F8F8-46D0-95C9-C7C5EDCD5712}"/>
            </a:ext>
          </a:extLst>
        </xdr:cNvPr>
        <xdr:cNvSpPr>
          <a:spLocks noChangeShapeType="1"/>
        </xdr:cNvSpPr>
      </xdr:nvSpPr>
      <xdr:spPr bwMode="auto">
        <a:xfrm flipH="1">
          <a:off x="5737860" y="2124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15</xdr:row>
      <xdr:rowOff>0</xdr:rowOff>
    </xdr:from>
    <xdr:to>
      <xdr:col>3</xdr:col>
      <xdr:colOff>390525</xdr:colOff>
      <xdr:row>16</xdr:row>
      <xdr:rowOff>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E45D0889-1C42-4589-A574-4767D2E6F45A}"/>
            </a:ext>
          </a:extLst>
        </xdr:cNvPr>
        <xdr:cNvSpPr>
          <a:spLocks noChangeShapeType="1"/>
        </xdr:cNvSpPr>
      </xdr:nvSpPr>
      <xdr:spPr bwMode="auto">
        <a:xfrm flipV="1">
          <a:off x="2165985" y="500634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361950</xdr:colOff>
      <xdr:row>10</xdr:row>
      <xdr:rowOff>628650</xdr:rowOff>
    </xdr:from>
    <xdr:to>
      <xdr:col>7</xdr:col>
      <xdr:colOff>361950</xdr:colOff>
      <xdr:row>15</xdr:row>
      <xdr:rowOff>571500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886028A8-07BF-4E60-93BC-6BC623782071}"/>
            </a:ext>
          </a:extLst>
        </xdr:cNvPr>
        <xdr:cNvSpPr>
          <a:spLocks noChangeShapeType="1"/>
        </xdr:cNvSpPr>
      </xdr:nvSpPr>
      <xdr:spPr bwMode="auto">
        <a:xfrm flipV="1">
          <a:off x="4796790" y="3128010"/>
          <a:ext cx="0" cy="24498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419100</xdr:colOff>
      <xdr:row>13</xdr:row>
      <xdr:rowOff>0</xdr:rowOff>
    </xdr:from>
    <xdr:to>
      <xdr:col>11</xdr:col>
      <xdr:colOff>419100</xdr:colOff>
      <xdr:row>14</xdr:row>
      <xdr:rowOff>0</xdr:rowOff>
    </xdr:to>
    <xdr:sp macro="" textlink="">
      <xdr:nvSpPr>
        <xdr:cNvPr id="15" name="Line 14">
          <a:extLst>
            <a:ext uri="{FF2B5EF4-FFF2-40B4-BE49-F238E27FC236}">
              <a16:creationId xmlns:a16="http://schemas.microsoft.com/office/drawing/2014/main" id="{E92D7B34-7F50-40DD-812A-979404E0190A}"/>
            </a:ext>
          </a:extLst>
        </xdr:cNvPr>
        <xdr:cNvSpPr>
          <a:spLocks noChangeShapeType="1"/>
        </xdr:cNvSpPr>
      </xdr:nvSpPr>
      <xdr:spPr bwMode="auto">
        <a:xfrm flipV="1">
          <a:off x="7665720" y="406908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400050</xdr:colOff>
      <xdr:row>11</xdr:row>
      <xdr:rowOff>381000</xdr:rowOff>
    </xdr:from>
    <xdr:to>
      <xdr:col>11</xdr:col>
      <xdr:colOff>400050</xdr:colOff>
      <xdr:row>12</xdr:row>
      <xdr:rowOff>0</xdr:rowOff>
    </xdr:to>
    <xdr:sp macro="" textlink="">
      <xdr:nvSpPr>
        <xdr:cNvPr id="16" name="Line 15">
          <a:extLst>
            <a:ext uri="{FF2B5EF4-FFF2-40B4-BE49-F238E27FC236}">
              <a16:creationId xmlns:a16="http://schemas.microsoft.com/office/drawing/2014/main" id="{73494F29-58C3-4CA1-9ADD-F57AB302D699}"/>
            </a:ext>
          </a:extLst>
        </xdr:cNvPr>
        <xdr:cNvSpPr>
          <a:spLocks noChangeShapeType="1"/>
        </xdr:cNvSpPr>
      </xdr:nvSpPr>
      <xdr:spPr bwMode="auto">
        <a:xfrm flipV="1">
          <a:off x="7646670" y="3512820"/>
          <a:ext cx="0" cy="205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11</xdr:row>
      <xdr:rowOff>381000</xdr:rowOff>
    </xdr:from>
    <xdr:to>
      <xdr:col>11</xdr:col>
      <xdr:colOff>400050</xdr:colOff>
      <xdr:row>11</xdr:row>
      <xdr:rowOff>381000</xdr:rowOff>
    </xdr:to>
    <xdr:sp macro="" textlink="">
      <xdr:nvSpPr>
        <xdr:cNvPr id="17" name="Line 16">
          <a:extLst>
            <a:ext uri="{FF2B5EF4-FFF2-40B4-BE49-F238E27FC236}">
              <a16:creationId xmlns:a16="http://schemas.microsoft.com/office/drawing/2014/main" id="{34E2F774-7C54-4F82-AC01-FB3E24FF1654}"/>
            </a:ext>
          </a:extLst>
        </xdr:cNvPr>
        <xdr:cNvSpPr>
          <a:spLocks noChangeShapeType="1"/>
        </xdr:cNvSpPr>
      </xdr:nvSpPr>
      <xdr:spPr bwMode="auto">
        <a:xfrm flipH="1">
          <a:off x="6128385" y="3512820"/>
          <a:ext cx="151828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371475</xdr:colOff>
      <xdr:row>9</xdr:row>
      <xdr:rowOff>361950</xdr:rowOff>
    </xdr:from>
    <xdr:to>
      <xdr:col>13</xdr:col>
      <xdr:colOff>371475</xdr:colOff>
      <xdr:row>9</xdr:row>
      <xdr:rowOff>895350</xdr:rowOff>
    </xdr:to>
    <xdr:sp macro="" textlink="">
      <xdr:nvSpPr>
        <xdr:cNvPr id="18" name="Line 17">
          <a:extLst>
            <a:ext uri="{FF2B5EF4-FFF2-40B4-BE49-F238E27FC236}">
              <a16:creationId xmlns:a16="http://schemas.microsoft.com/office/drawing/2014/main" id="{AC9D2606-03A0-4B39-8BB2-E196A6ED0CF9}"/>
            </a:ext>
          </a:extLst>
        </xdr:cNvPr>
        <xdr:cNvSpPr>
          <a:spLocks noChangeShapeType="1"/>
        </xdr:cNvSpPr>
      </xdr:nvSpPr>
      <xdr:spPr bwMode="auto">
        <a:xfrm flipV="1">
          <a:off x="8768715" y="2343150"/>
          <a:ext cx="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342900</xdr:colOff>
      <xdr:row>9</xdr:row>
      <xdr:rowOff>361950</xdr:rowOff>
    </xdr:from>
    <xdr:to>
      <xdr:col>13</xdr:col>
      <xdr:colOff>371475</xdr:colOff>
      <xdr:row>9</xdr:row>
      <xdr:rowOff>361950</xdr:rowOff>
    </xdr:to>
    <xdr:sp macro="" textlink="">
      <xdr:nvSpPr>
        <xdr:cNvPr id="19" name="Line 18">
          <a:extLst>
            <a:ext uri="{FF2B5EF4-FFF2-40B4-BE49-F238E27FC236}">
              <a16:creationId xmlns:a16="http://schemas.microsoft.com/office/drawing/2014/main" id="{DDBCC50A-ADAF-468A-9DF6-FFFA11EE1C7B}"/>
            </a:ext>
          </a:extLst>
        </xdr:cNvPr>
        <xdr:cNvSpPr>
          <a:spLocks noChangeShapeType="1"/>
        </xdr:cNvSpPr>
      </xdr:nvSpPr>
      <xdr:spPr bwMode="auto">
        <a:xfrm flipH="1">
          <a:off x="6835140" y="2343150"/>
          <a:ext cx="1933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400050</xdr:colOff>
      <xdr:row>8</xdr:row>
      <xdr:rowOff>619125</xdr:rowOff>
    </xdr:from>
    <xdr:to>
      <xdr:col>11</xdr:col>
      <xdr:colOff>400050</xdr:colOff>
      <xdr:row>9</xdr:row>
      <xdr:rowOff>361950</xdr:rowOff>
    </xdr:to>
    <xdr:sp macro="" textlink="">
      <xdr:nvSpPr>
        <xdr:cNvPr id="20" name="Line 19">
          <a:extLst>
            <a:ext uri="{FF2B5EF4-FFF2-40B4-BE49-F238E27FC236}">
              <a16:creationId xmlns:a16="http://schemas.microsoft.com/office/drawing/2014/main" id="{B2E509B5-A76D-4EB5-A118-557D63097AD3}"/>
            </a:ext>
          </a:extLst>
        </xdr:cNvPr>
        <xdr:cNvSpPr>
          <a:spLocks noChangeShapeType="1"/>
        </xdr:cNvSpPr>
      </xdr:nvSpPr>
      <xdr:spPr bwMode="auto">
        <a:xfrm flipV="1">
          <a:off x="7646670" y="1967865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342900</xdr:colOff>
      <xdr:row>9</xdr:row>
      <xdr:rowOff>361950</xdr:rowOff>
    </xdr:from>
    <xdr:to>
      <xdr:col>10</xdr:col>
      <xdr:colOff>342900</xdr:colOff>
      <xdr:row>10</xdr:row>
      <xdr:rowOff>0</xdr:rowOff>
    </xdr:to>
    <xdr:sp macro="" textlink="">
      <xdr:nvSpPr>
        <xdr:cNvPr id="21" name="Line 20">
          <a:extLst>
            <a:ext uri="{FF2B5EF4-FFF2-40B4-BE49-F238E27FC236}">
              <a16:creationId xmlns:a16="http://schemas.microsoft.com/office/drawing/2014/main" id="{9C1E2DC9-BDCE-42F8-8A49-8C2C4A8697FE}"/>
            </a:ext>
          </a:extLst>
        </xdr:cNvPr>
        <xdr:cNvSpPr>
          <a:spLocks noChangeShapeType="1"/>
        </xdr:cNvSpPr>
      </xdr:nvSpPr>
      <xdr:spPr bwMode="auto">
        <a:xfrm>
          <a:off x="6835140" y="2343150"/>
          <a:ext cx="0" cy="15621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11</xdr:row>
      <xdr:rowOff>390525</xdr:rowOff>
    </xdr:from>
    <xdr:to>
      <xdr:col>9</xdr:col>
      <xdr:colOff>390525</xdr:colOff>
      <xdr:row>12</xdr:row>
      <xdr:rowOff>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69DF5BCE-D6D1-4F81-8A9A-6A081BEB4AC0}"/>
            </a:ext>
          </a:extLst>
        </xdr:cNvPr>
        <xdr:cNvSpPr>
          <a:spLocks noChangeShapeType="1"/>
        </xdr:cNvSpPr>
      </xdr:nvSpPr>
      <xdr:spPr bwMode="auto">
        <a:xfrm>
          <a:off x="6128385" y="3522345"/>
          <a:ext cx="0" cy="19621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361950</xdr:colOff>
      <xdr:row>10</xdr:row>
      <xdr:rowOff>628650</xdr:rowOff>
    </xdr:from>
    <xdr:to>
      <xdr:col>10</xdr:col>
      <xdr:colOff>361950</xdr:colOff>
      <xdr:row>11</xdr:row>
      <xdr:rowOff>371475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081F2A24-4498-4F59-BD4B-246F7636ACA8}"/>
            </a:ext>
          </a:extLst>
        </xdr:cNvPr>
        <xdr:cNvSpPr>
          <a:spLocks noChangeShapeType="1"/>
        </xdr:cNvSpPr>
      </xdr:nvSpPr>
      <xdr:spPr bwMode="auto">
        <a:xfrm flipV="1">
          <a:off x="6854190" y="3128010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13</xdr:row>
      <xdr:rowOff>0</xdr:rowOff>
    </xdr:from>
    <xdr:to>
      <xdr:col>9</xdr:col>
      <xdr:colOff>390525</xdr:colOff>
      <xdr:row>16</xdr:row>
      <xdr:rowOff>0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B67BF485-951A-4D3B-B532-1F9A303346A9}"/>
            </a:ext>
          </a:extLst>
        </xdr:cNvPr>
        <xdr:cNvSpPr>
          <a:spLocks noChangeShapeType="1"/>
        </xdr:cNvSpPr>
      </xdr:nvSpPr>
      <xdr:spPr bwMode="auto">
        <a:xfrm flipV="1">
          <a:off x="6128385" y="4069080"/>
          <a:ext cx="0" cy="1524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419100</xdr:colOff>
      <xdr:row>15</xdr:row>
      <xdr:rowOff>0</xdr:rowOff>
    </xdr:from>
    <xdr:to>
      <xdr:col>11</xdr:col>
      <xdr:colOff>419100</xdr:colOff>
      <xdr:row>16</xdr:row>
      <xdr:rowOff>0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9D4D7D16-EDDB-4E16-9F27-54788B773201}"/>
            </a:ext>
          </a:extLst>
        </xdr:cNvPr>
        <xdr:cNvSpPr>
          <a:spLocks noChangeShapeType="1"/>
        </xdr:cNvSpPr>
      </xdr:nvSpPr>
      <xdr:spPr bwMode="auto">
        <a:xfrm flipV="1">
          <a:off x="7665720" y="500634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361950</xdr:colOff>
      <xdr:row>10</xdr:row>
      <xdr:rowOff>628650</xdr:rowOff>
    </xdr:from>
    <xdr:to>
      <xdr:col>13</xdr:col>
      <xdr:colOff>361950</xdr:colOff>
      <xdr:row>15</xdr:row>
      <xdr:rowOff>571500</xdr:rowOff>
    </xdr:to>
    <xdr:sp macro="" textlink="">
      <xdr:nvSpPr>
        <xdr:cNvPr id="26" name="Line 25">
          <a:extLst>
            <a:ext uri="{FF2B5EF4-FFF2-40B4-BE49-F238E27FC236}">
              <a16:creationId xmlns:a16="http://schemas.microsoft.com/office/drawing/2014/main" id="{0A789B78-698D-413A-82A9-C9504F4BFDC1}"/>
            </a:ext>
          </a:extLst>
        </xdr:cNvPr>
        <xdr:cNvSpPr>
          <a:spLocks noChangeShapeType="1"/>
        </xdr:cNvSpPr>
      </xdr:nvSpPr>
      <xdr:spPr bwMode="auto">
        <a:xfrm flipV="1">
          <a:off x="8759190" y="3128010"/>
          <a:ext cx="0" cy="24498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419100</xdr:colOff>
      <xdr:row>13</xdr:row>
      <xdr:rowOff>0</xdr:rowOff>
    </xdr:from>
    <xdr:to>
      <xdr:col>5</xdr:col>
      <xdr:colOff>419100</xdr:colOff>
      <xdr:row>14</xdr:row>
      <xdr:rowOff>0</xdr:rowOff>
    </xdr:to>
    <xdr:sp macro="" textlink="">
      <xdr:nvSpPr>
        <xdr:cNvPr id="27" name="Line 26">
          <a:extLst>
            <a:ext uri="{FF2B5EF4-FFF2-40B4-BE49-F238E27FC236}">
              <a16:creationId xmlns:a16="http://schemas.microsoft.com/office/drawing/2014/main" id="{D9AB15C4-95A0-46D9-AC5D-E13F05B27C5F}"/>
            </a:ext>
          </a:extLst>
        </xdr:cNvPr>
        <xdr:cNvSpPr>
          <a:spLocks noChangeShapeType="1"/>
        </xdr:cNvSpPr>
      </xdr:nvSpPr>
      <xdr:spPr bwMode="auto">
        <a:xfrm flipV="1">
          <a:off x="3703320" y="406908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409575</xdr:colOff>
      <xdr:row>15</xdr:row>
      <xdr:rowOff>0</xdr:rowOff>
    </xdr:from>
    <xdr:to>
      <xdr:col>5</xdr:col>
      <xdr:colOff>409575</xdr:colOff>
      <xdr:row>16</xdr:row>
      <xdr:rowOff>0</xdr:rowOff>
    </xdr:to>
    <xdr:sp macro="" textlink="">
      <xdr:nvSpPr>
        <xdr:cNvPr id="28" name="Line 27">
          <a:extLst>
            <a:ext uri="{FF2B5EF4-FFF2-40B4-BE49-F238E27FC236}">
              <a16:creationId xmlns:a16="http://schemas.microsoft.com/office/drawing/2014/main" id="{CCDD7CA4-9AE0-42E6-9B9D-B99D0E3FE9F4}"/>
            </a:ext>
          </a:extLst>
        </xdr:cNvPr>
        <xdr:cNvSpPr>
          <a:spLocks noChangeShapeType="1"/>
        </xdr:cNvSpPr>
      </xdr:nvSpPr>
      <xdr:spPr bwMode="auto">
        <a:xfrm flipV="1">
          <a:off x="3693795" y="500634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24</xdr:row>
      <xdr:rowOff>0</xdr:rowOff>
    </xdr:from>
    <xdr:to>
      <xdr:col>3</xdr:col>
      <xdr:colOff>390525</xdr:colOff>
      <xdr:row>25</xdr:row>
      <xdr:rowOff>0</xdr:rowOff>
    </xdr:to>
    <xdr:sp macro="" textlink="">
      <xdr:nvSpPr>
        <xdr:cNvPr id="29" name="Line 28">
          <a:extLst>
            <a:ext uri="{FF2B5EF4-FFF2-40B4-BE49-F238E27FC236}">
              <a16:creationId xmlns:a16="http://schemas.microsoft.com/office/drawing/2014/main" id="{AD348B60-335D-4EDB-91FF-07AEAD6517D2}"/>
            </a:ext>
          </a:extLst>
        </xdr:cNvPr>
        <xdr:cNvSpPr>
          <a:spLocks noChangeShapeType="1"/>
        </xdr:cNvSpPr>
      </xdr:nvSpPr>
      <xdr:spPr bwMode="auto">
        <a:xfrm flipV="1">
          <a:off x="2165985" y="900684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400050</xdr:colOff>
      <xdr:row>22</xdr:row>
      <xdr:rowOff>381000</xdr:rowOff>
    </xdr:from>
    <xdr:to>
      <xdr:col>5</xdr:col>
      <xdr:colOff>400050</xdr:colOff>
      <xdr:row>23</xdr:row>
      <xdr:rowOff>0</xdr:rowOff>
    </xdr:to>
    <xdr:sp macro="" textlink="">
      <xdr:nvSpPr>
        <xdr:cNvPr id="30" name="Line 29">
          <a:extLst>
            <a:ext uri="{FF2B5EF4-FFF2-40B4-BE49-F238E27FC236}">
              <a16:creationId xmlns:a16="http://schemas.microsoft.com/office/drawing/2014/main" id="{6F567C5C-72B2-4853-9ED3-65182B8CA2F0}"/>
            </a:ext>
          </a:extLst>
        </xdr:cNvPr>
        <xdr:cNvSpPr>
          <a:spLocks noChangeShapeType="1"/>
        </xdr:cNvSpPr>
      </xdr:nvSpPr>
      <xdr:spPr bwMode="auto">
        <a:xfrm flipV="1">
          <a:off x="3684270" y="8450580"/>
          <a:ext cx="0" cy="205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22</xdr:row>
      <xdr:rowOff>381000</xdr:rowOff>
    </xdr:from>
    <xdr:to>
      <xdr:col>5</xdr:col>
      <xdr:colOff>400050</xdr:colOff>
      <xdr:row>22</xdr:row>
      <xdr:rowOff>381000</xdr:rowOff>
    </xdr:to>
    <xdr:sp macro="" textlink="">
      <xdr:nvSpPr>
        <xdr:cNvPr id="31" name="Line 30">
          <a:extLst>
            <a:ext uri="{FF2B5EF4-FFF2-40B4-BE49-F238E27FC236}">
              <a16:creationId xmlns:a16="http://schemas.microsoft.com/office/drawing/2014/main" id="{B2F14AE1-1256-4C2F-A468-8941A145747B}"/>
            </a:ext>
          </a:extLst>
        </xdr:cNvPr>
        <xdr:cNvSpPr>
          <a:spLocks noChangeShapeType="1"/>
        </xdr:cNvSpPr>
      </xdr:nvSpPr>
      <xdr:spPr bwMode="auto">
        <a:xfrm flipH="1">
          <a:off x="2165985" y="8450580"/>
          <a:ext cx="151828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371475</xdr:colOff>
      <xdr:row>20</xdr:row>
      <xdr:rowOff>361950</xdr:rowOff>
    </xdr:from>
    <xdr:to>
      <xdr:col>7</xdr:col>
      <xdr:colOff>371475</xdr:colOff>
      <xdr:row>20</xdr:row>
      <xdr:rowOff>895350</xdr:rowOff>
    </xdr:to>
    <xdr:sp macro="" textlink="">
      <xdr:nvSpPr>
        <xdr:cNvPr id="32" name="Line 31">
          <a:extLst>
            <a:ext uri="{FF2B5EF4-FFF2-40B4-BE49-F238E27FC236}">
              <a16:creationId xmlns:a16="http://schemas.microsoft.com/office/drawing/2014/main" id="{C9C97117-6E1E-44C5-A083-E939AF4B15FB}"/>
            </a:ext>
          </a:extLst>
        </xdr:cNvPr>
        <xdr:cNvSpPr>
          <a:spLocks noChangeShapeType="1"/>
        </xdr:cNvSpPr>
      </xdr:nvSpPr>
      <xdr:spPr bwMode="auto">
        <a:xfrm flipV="1">
          <a:off x="4806315" y="7280910"/>
          <a:ext cx="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342900</xdr:colOff>
      <xdr:row>20</xdr:row>
      <xdr:rowOff>361950</xdr:rowOff>
    </xdr:from>
    <xdr:to>
      <xdr:col>7</xdr:col>
      <xdr:colOff>371475</xdr:colOff>
      <xdr:row>20</xdr:row>
      <xdr:rowOff>361950</xdr:rowOff>
    </xdr:to>
    <xdr:sp macro="" textlink="">
      <xdr:nvSpPr>
        <xdr:cNvPr id="33" name="Line 32">
          <a:extLst>
            <a:ext uri="{FF2B5EF4-FFF2-40B4-BE49-F238E27FC236}">
              <a16:creationId xmlns:a16="http://schemas.microsoft.com/office/drawing/2014/main" id="{FB449E0A-B334-4DF1-9969-614AF1B296B9}"/>
            </a:ext>
          </a:extLst>
        </xdr:cNvPr>
        <xdr:cNvSpPr>
          <a:spLocks noChangeShapeType="1"/>
        </xdr:cNvSpPr>
      </xdr:nvSpPr>
      <xdr:spPr bwMode="auto">
        <a:xfrm flipH="1">
          <a:off x="2872740" y="7280910"/>
          <a:ext cx="1933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400050</xdr:colOff>
      <xdr:row>19</xdr:row>
      <xdr:rowOff>619125</xdr:rowOff>
    </xdr:from>
    <xdr:to>
      <xdr:col>5</xdr:col>
      <xdr:colOff>400050</xdr:colOff>
      <xdr:row>20</xdr:row>
      <xdr:rowOff>361950</xdr:rowOff>
    </xdr:to>
    <xdr:sp macro="" textlink="">
      <xdr:nvSpPr>
        <xdr:cNvPr id="34" name="Line 33">
          <a:extLst>
            <a:ext uri="{FF2B5EF4-FFF2-40B4-BE49-F238E27FC236}">
              <a16:creationId xmlns:a16="http://schemas.microsoft.com/office/drawing/2014/main" id="{78A3DF33-F7EF-4E3A-9486-5F3EB317D43A}"/>
            </a:ext>
          </a:extLst>
        </xdr:cNvPr>
        <xdr:cNvSpPr>
          <a:spLocks noChangeShapeType="1"/>
        </xdr:cNvSpPr>
      </xdr:nvSpPr>
      <xdr:spPr bwMode="auto">
        <a:xfrm flipV="1">
          <a:off x="3684270" y="6905625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342900</xdr:colOff>
      <xdr:row>20</xdr:row>
      <xdr:rowOff>361950</xdr:rowOff>
    </xdr:from>
    <xdr:to>
      <xdr:col>4</xdr:col>
      <xdr:colOff>342900</xdr:colOff>
      <xdr:row>21</xdr:row>
      <xdr:rowOff>0</xdr:rowOff>
    </xdr:to>
    <xdr:sp macro="" textlink="">
      <xdr:nvSpPr>
        <xdr:cNvPr id="35" name="Line 34">
          <a:extLst>
            <a:ext uri="{FF2B5EF4-FFF2-40B4-BE49-F238E27FC236}">
              <a16:creationId xmlns:a16="http://schemas.microsoft.com/office/drawing/2014/main" id="{03946483-39B4-4DA0-9770-5E93BFC127A9}"/>
            </a:ext>
          </a:extLst>
        </xdr:cNvPr>
        <xdr:cNvSpPr>
          <a:spLocks noChangeShapeType="1"/>
        </xdr:cNvSpPr>
      </xdr:nvSpPr>
      <xdr:spPr bwMode="auto">
        <a:xfrm>
          <a:off x="2872740" y="7280910"/>
          <a:ext cx="0" cy="15621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22</xdr:row>
      <xdr:rowOff>390525</xdr:rowOff>
    </xdr:from>
    <xdr:to>
      <xdr:col>3</xdr:col>
      <xdr:colOff>390525</xdr:colOff>
      <xdr:row>23</xdr:row>
      <xdr:rowOff>0</xdr:rowOff>
    </xdr:to>
    <xdr:sp macro="" textlink="">
      <xdr:nvSpPr>
        <xdr:cNvPr id="36" name="Line 35">
          <a:extLst>
            <a:ext uri="{FF2B5EF4-FFF2-40B4-BE49-F238E27FC236}">
              <a16:creationId xmlns:a16="http://schemas.microsoft.com/office/drawing/2014/main" id="{02667715-AD84-4DF4-91DA-46944E8D5AC3}"/>
            </a:ext>
          </a:extLst>
        </xdr:cNvPr>
        <xdr:cNvSpPr>
          <a:spLocks noChangeShapeType="1"/>
        </xdr:cNvSpPr>
      </xdr:nvSpPr>
      <xdr:spPr bwMode="auto">
        <a:xfrm>
          <a:off x="2165985" y="8460105"/>
          <a:ext cx="0" cy="19621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361950</xdr:colOff>
      <xdr:row>21</xdr:row>
      <xdr:rowOff>628650</xdr:rowOff>
    </xdr:from>
    <xdr:to>
      <xdr:col>4</xdr:col>
      <xdr:colOff>361950</xdr:colOff>
      <xdr:row>22</xdr:row>
      <xdr:rowOff>371475</xdr:rowOff>
    </xdr:to>
    <xdr:sp macro="" textlink="">
      <xdr:nvSpPr>
        <xdr:cNvPr id="37" name="Line 36">
          <a:extLst>
            <a:ext uri="{FF2B5EF4-FFF2-40B4-BE49-F238E27FC236}">
              <a16:creationId xmlns:a16="http://schemas.microsoft.com/office/drawing/2014/main" id="{BF07A94E-689D-4104-97A3-EFE6F65460F1}"/>
            </a:ext>
          </a:extLst>
        </xdr:cNvPr>
        <xdr:cNvSpPr>
          <a:spLocks noChangeShapeType="1"/>
        </xdr:cNvSpPr>
      </xdr:nvSpPr>
      <xdr:spPr bwMode="auto">
        <a:xfrm flipV="1">
          <a:off x="2891790" y="8065770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22</xdr:row>
      <xdr:rowOff>142875</xdr:rowOff>
    </xdr:from>
    <xdr:to>
      <xdr:col>9</xdr:col>
      <xdr:colOff>0</xdr:colOff>
      <xdr:row>22</xdr:row>
      <xdr:rowOff>142875</xdr:rowOff>
    </xdr:to>
    <xdr:sp macro="" textlink="">
      <xdr:nvSpPr>
        <xdr:cNvPr id="38" name="Line 37">
          <a:extLst>
            <a:ext uri="{FF2B5EF4-FFF2-40B4-BE49-F238E27FC236}">
              <a16:creationId xmlns:a16="http://schemas.microsoft.com/office/drawing/2014/main" id="{EA2B49EB-91E8-48DC-8598-FC1A4068307B}"/>
            </a:ext>
          </a:extLst>
        </xdr:cNvPr>
        <xdr:cNvSpPr>
          <a:spLocks noChangeShapeType="1"/>
        </xdr:cNvSpPr>
      </xdr:nvSpPr>
      <xdr:spPr bwMode="auto">
        <a:xfrm flipH="1">
          <a:off x="5737860" y="821245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20</xdr:row>
      <xdr:rowOff>142875</xdr:rowOff>
    </xdr:from>
    <xdr:to>
      <xdr:col>9</xdr:col>
      <xdr:colOff>0</xdr:colOff>
      <xdr:row>20</xdr:row>
      <xdr:rowOff>142875</xdr:rowOff>
    </xdr:to>
    <xdr:sp macro="" textlink="">
      <xdr:nvSpPr>
        <xdr:cNvPr id="39" name="Line 38">
          <a:extLst>
            <a:ext uri="{FF2B5EF4-FFF2-40B4-BE49-F238E27FC236}">
              <a16:creationId xmlns:a16="http://schemas.microsoft.com/office/drawing/2014/main" id="{6B5169CB-B422-4E48-B46F-DB384BE8FA2E}"/>
            </a:ext>
          </a:extLst>
        </xdr:cNvPr>
        <xdr:cNvSpPr>
          <a:spLocks noChangeShapeType="1"/>
        </xdr:cNvSpPr>
      </xdr:nvSpPr>
      <xdr:spPr bwMode="auto">
        <a:xfrm flipH="1">
          <a:off x="5737860" y="706183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26</xdr:row>
      <xdr:rowOff>0</xdr:rowOff>
    </xdr:from>
    <xdr:to>
      <xdr:col>3</xdr:col>
      <xdr:colOff>390525</xdr:colOff>
      <xdr:row>27</xdr:row>
      <xdr:rowOff>0</xdr:rowOff>
    </xdr:to>
    <xdr:sp macro="" textlink="">
      <xdr:nvSpPr>
        <xdr:cNvPr id="40" name="Line 39">
          <a:extLst>
            <a:ext uri="{FF2B5EF4-FFF2-40B4-BE49-F238E27FC236}">
              <a16:creationId xmlns:a16="http://schemas.microsoft.com/office/drawing/2014/main" id="{897A37C5-F382-4896-AD09-EA0445E6F412}"/>
            </a:ext>
          </a:extLst>
        </xdr:cNvPr>
        <xdr:cNvSpPr>
          <a:spLocks noChangeShapeType="1"/>
        </xdr:cNvSpPr>
      </xdr:nvSpPr>
      <xdr:spPr bwMode="auto">
        <a:xfrm flipV="1">
          <a:off x="2165985" y="994410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361950</xdr:colOff>
      <xdr:row>21</xdr:row>
      <xdr:rowOff>628650</xdr:rowOff>
    </xdr:from>
    <xdr:to>
      <xdr:col>7</xdr:col>
      <xdr:colOff>361950</xdr:colOff>
      <xdr:row>26</xdr:row>
      <xdr:rowOff>571500</xdr:rowOff>
    </xdr:to>
    <xdr:sp macro="" textlink="">
      <xdr:nvSpPr>
        <xdr:cNvPr id="41" name="Line 40">
          <a:extLst>
            <a:ext uri="{FF2B5EF4-FFF2-40B4-BE49-F238E27FC236}">
              <a16:creationId xmlns:a16="http://schemas.microsoft.com/office/drawing/2014/main" id="{74D830DD-0709-484B-B065-39D4839BE538}"/>
            </a:ext>
          </a:extLst>
        </xdr:cNvPr>
        <xdr:cNvSpPr>
          <a:spLocks noChangeShapeType="1"/>
        </xdr:cNvSpPr>
      </xdr:nvSpPr>
      <xdr:spPr bwMode="auto">
        <a:xfrm flipV="1">
          <a:off x="4796790" y="8065770"/>
          <a:ext cx="0" cy="24498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419100</xdr:colOff>
      <xdr:row>24</xdr:row>
      <xdr:rowOff>0</xdr:rowOff>
    </xdr:from>
    <xdr:to>
      <xdr:col>11</xdr:col>
      <xdr:colOff>419100</xdr:colOff>
      <xdr:row>25</xdr:row>
      <xdr:rowOff>0</xdr:rowOff>
    </xdr:to>
    <xdr:sp macro="" textlink="">
      <xdr:nvSpPr>
        <xdr:cNvPr id="42" name="Line 41">
          <a:extLst>
            <a:ext uri="{FF2B5EF4-FFF2-40B4-BE49-F238E27FC236}">
              <a16:creationId xmlns:a16="http://schemas.microsoft.com/office/drawing/2014/main" id="{C327B81D-BD4D-42A9-AD47-D7F2EE7309D0}"/>
            </a:ext>
          </a:extLst>
        </xdr:cNvPr>
        <xdr:cNvSpPr>
          <a:spLocks noChangeShapeType="1"/>
        </xdr:cNvSpPr>
      </xdr:nvSpPr>
      <xdr:spPr bwMode="auto">
        <a:xfrm flipV="1">
          <a:off x="7665720" y="900684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400050</xdr:colOff>
      <xdr:row>22</xdr:row>
      <xdr:rowOff>381000</xdr:rowOff>
    </xdr:from>
    <xdr:to>
      <xdr:col>11</xdr:col>
      <xdr:colOff>400050</xdr:colOff>
      <xdr:row>23</xdr:row>
      <xdr:rowOff>0</xdr:rowOff>
    </xdr:to>
    <xdr:sp macro="" textlink="">
      <xdr:nvSpPr>
        <xdr:cNvPr id="43" name="Line 42">
          <a:extLst>
            <a:ext uri="{FF2B5EF4-FFF2-40B4-BE49-F238E27FC236}">
              <a16:creationId xmlns:a16="http://schemas.microsoft.com/office/drawing/2014/main" id="{726CEADD-EF06-42AE-8FE2-5829A212EB91}"/>
            </a:ext>
          </a:extLst>
        </xdr:cNvPr>
        <xdr:cNvSpPr>
          <a:spLocks noChangeShapeType="1"/>
        </xdr:cNvSpPr>
      </xdr:nvSpPr>
      <xdr:spPr bwMode="auto">
        <a:xfrm flipV="1">
          <a:off x="7646670" y="8450580"/>
          <a:ext cx="0" cy="205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22</xdr:row>
      <xdr:rowOff>381000</xdr:rowOff>
    </xdr:from>
    <xdr:to>
      <xdr:col>11</xdr:col>
      <xdr:colOff>400050</xdr:colOff>
      <xdr:row>22</xdr:row>
      <xdr:rowOff>381000</xdr:rowOff>
    </xdr:to>
    <xdr:sp macro="" textlink="">
      <xdr:nvSpPr>
        <xdr:cNvPr id="44" name="Line 43">
          <a:extLst>
            <a:ext uri="{FF2B5EF4-FFF2-40B4-BE49-F238E27FC236}">
              <a16:creationId xmlns:a16="http://schemas.microsoft.com/office/drawing/2014/main" id="{417A7E02-4FB3-42CC-8865-94321B075BC6}"/>
            </a:ext>
          </a:extLst>
        </xdr:cNvPr>
        <xdr:cNvSpPr>
          <a:spLocks noChangeShapeType="1"/>
        </xdr:cNvSpPr>
      </xdr:nvSpPr>
      <xdr:spPr bwMode="auto">
        <a:xfrm flipH="1">
          <a:off x="6128385" y="8450580"/>
          <a:ext cx="151828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371475</xdr:colOff>
      <xdr:row>20</xdr:row>
      <xdr:rowOff>361950</xdr:rowOff>
    </xdr:from>
    <xdr:to>
      <xdr:col>13</xdr:col>
      <xdr:colOff>371475</xdr:colOff>
      <xdr:row>20</xdr:row>
      <xdr:rowOff>895350</xdr:rowOff>
    </xdr:to>
    <xdr:sp macro="" textlink="">
      <xdr:nvSpPr>
        <xdr:cNvPr id="45" name="Line 44">
          <a:extLst>
            <a:ext uri="{FF2B5EF4-FFF2-40B4-BE49-F238E27FC236}">
              <a16:creationId xmlns:a16="http://schemas.microsoft.com/office/drawing/2014/main" id="{4E8EBB3B-F5EF-4261-B2A1-2338348F5021}"/>
            </a:ext>
          </a:extLst>
        </xdr:cNvPr>
        <xdr:cNvSpPr>
          <a:spLocks noChangeShapeType="1"/>
        </xdr:cNvSpPr>
      </xdr:nvSpPr>
      <xdr:spPr bwMode="auto">
        <a:xfrm flipV="1">
          <a:off x="8768715" y="7280910"/>
          <a:ext cx="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342900</xdr:colOff>
      <xdr:row>20</xdr:row>
      <xdr:rowOff>361950</xdr:rowOff>
    </xdr:from>
    <xdr:to>
      <xdr:col>13</xdr:col>
      <xdr:colOff>371475</xdr:colOff>
      <xdr:row>20</xdr:row>
      <xdr:rowOff>361950</xdr:rowOff>
    </xdr:to>
    <xdr:sp macro="" textlink="">
      <xdr:nvSpPr>
        <xdr:cNvPr id="46" name="Line 45">
          <a:extLst>
            <a:ext uri="{FF2B5EF4-FFF2-40B4-BE49-F238E27FC236}">
              <a16:creationId xmlns:a16="http://schemas.microsoft.com/office/drawing/2014/main" id="{905FE1E6-E119-45F6-BC32-244CA2104E9B}"/>
            </a:ext>
          </a:extLst>
        </xdr:cNvPr>
        <xdr:cNvSpPr>
          <a:spLocks noChangeShapeType="1"/>
        </xdr:cNvSpPr>
      </xdr:nvSpPr>
      <xdr:spPr bwMode="auto">
        <a:xfrm flipH="1">
          <a:off x="6835140" y="7280910"/>
          <a:ext cx="1933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400050</xdr:colOff>
      <xdr:row>19</xdr:row>
      <xdr:rowOff>619125</xdr:rowOff>
    </xdr:from>
    <xdr:to>
      <xdr:col>11</xdr:col>
      <xdr:colOff>400050</xdr:colOff>
      <xdr:row>20</xdr:row>
      <xdr:rowOff>361950</xdr:rowOff>
    </xdr:to>
    <xdr:sp macro="" textlink="">
      <xdr:nvSpPr>
        <xdr:cNvPr id="47" name="Line 46">
          <a:extLst>
            <a:ext uri="{FF2B5EF4-FFF2-40B4-BE49-F238E27FC236}">
              <a16:creationId xmlns:a16="http://schemas.microsoft.com/office/drawing/2014/main" id="{629507F3-95D0-4709-89D9-A58684DE274A}"/>
            </a:ext>
          </a:extLst>
        </xdr:cNvPr>
        <xdr:cNvSpPr>
          <a:spLocks noChangeShapeType="1"/>
        </xdr:cNvSpPr>
      </xdr:nvSpPr>
      <xdr:spPr bwMode="auto">
        <a:xfrm flipV="1">
          <a:off x="7646670" y="6905625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342900</xdr:colOff>
      <xdr:row>20</xdr:row>
      <xdr:rowOff>361950</xdr:rowOff>
    </xdr:from>
    <xdr:to>
      <xdr:col>10</xdr:col>
      <xdr:colOff>342900</xdr:colOff>
      <xdr:row>21</xdr:row>
      <xdr:rowOff>0</xdr:rowOff>
    </xdr:to>
    <xdr:sp macro="" textlink="">
      <xdr:nvSpPr>
        <xdr:cNvPr id="48" name="Line 47">
          <a:extLst>
            <a:ext uri="{FF2B5EF4-FFF2-40B4-BE49-F238E27FC236}">
              <a16:creationId xmlns:a16="http://schemas.microsoft.com/office/drawing/2014/main" id="{6388E208-2422-42EF-9494-476DB8EED587}"/>
            </a:ext>
          </a:extLst>
        </xdr:cNvPr>
        <xdr:cNvSpPr>
          <a:spLocks noChangeShapeType="1"/>
        </xdr:cNvSpPr>
      </xdr:nvSpPr>
      <xdr:spPr bwMode="auto">
        <a:xfrm>
          <a:off x="6835140" y="7280910"/>
          <a:ext cx="0" cy="15621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22</xdr:row>
      <xdr:rowOff>390525</xdr:rowOff>
    </xdr:from>
    <xdr:to>
      <xdr:col>9</xdr:col>
      <xdr:colOff>390525</xdr:colOff>
      <xdr:row>23</xdr:row>
      <xdr:rowOff>0</xdr:rowOff>
    </xdr:to>
    <xdr:sp macro="" textlink="">
      <xdr:nvSpPr>
        <xdr:cNvPr id="49" name="Line 48">
          <a:extLst>
            <a:ext uri="{FF2B5EF4-FFF2-40B4-BE49-F238E27FC236}">
              <a16:creationId xmlns:a16="http://schemas.microsoft.com/office/drawing/2014/main" id="{EF916003-5CC4-43AC-925D-170E09345F4C}"/>
            </a:ext>
          </a:extLst>
        </xdr:cNvPr>
        <xdr:cNvSpPr>
          <a:spLocks noChangeShapeType="1"/>
        </xdr:cNvSpPr>
      </xdr:nvSpPr>
      <xdr:spPr bwMode="auto">
        <a:xfrm>
          <a:off x="6128385" y="8460105"/>
          <a:ext cx="0" cy="19621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361950</xdr:colOff>
      <xdr:row>21</xdr:row>
      <xdr:rowOff>628650</xdr:rowOff>
    </xdr:from>
    <xdr:to>
      <xdr:col>10</xdr:col>
      <xdr:colOff>361950</xdr:colOff>
      <xdr:row>22</xdr:row>
      <xdr:rowOff>371475</xdr:rowOff>
    </xdr:to>
    <xdr:sp macro="" textlink="">
      <xdr:nvSpPr>
        <xdr:cNvPr id="50" name="Line 49">
          <a:extLst>
            <a:ext uri="{FF2B5EF4-FFF2-40B4-BE49-F238E27FC236}">
              <a16:creationId xmlns:a16="http://schemas.microsoft.com/office/drawing/2014/main" id="{CE56DDEC-5705-4836-AA86-8A3603603DE5}"/>
            </a:ext>
          </a:extLst>
        </xdr:cNvPr>
        <xdr:cNvSpPr>
          <a:spLocks noChangeShapeType="1"/>
        </xdr:cNvSpPr>
      </xdr:nvSpPr>
      <xdr:spPr bwMode="auto">
        <a:xfrm flipV="1">
          <a:off x="6854190" y="8065770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24</xdr:row>
      <xdr:rowOff>0</xdr:rowOff>
    </xdr:from>
    <xdr:to>
      <xdr:col>9</xdr:col>
      <xdr:colOff>390525</xdr:colOff>
      <xdr:row>27</xdr:row>
      <xdr:rowOff>0</xdr:rowOff>
    </xdr:to>
    <xdr:sp macro="" textlink="">
      <xdr:nvSpPr>
        <xdr:cNvPr id="51" name="Line 50">
          <a:extLst>
            <a:ext uri="{FF2B5EF4-FFF2-40B4-BE49-F238E27FC236}">
              <a16:creationId xmlns:a16="http://schemas.microsoft.com/office/drawing/2014/main" id="{4B47B30D-3DF6-4AA7-A914-B93FACE1806A}"/>
            </a:ext>
          </a:extLst>
        </xdr:cNvPr>
        <xdr:cNvSpPr>
          <a:spLocks noChangeShapeType="1"/>
        </xdr:cNvSpPr>
      </xdr:nvSpPr>
      <xdr:spPr bwMode="auto">
        <a:xfrm flipV="1">
          <a:off x="6128385" y="9006840"/>
          <a:ext cx="0" cy="1524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419100</xdr:colOff>
      <xdr:row>26</xdr:row>
      <xdr:rowOff>0</xdr:rowOff>
    </xdr:from>
    <xdr:to>
      <xdr:col>11</xdr:col>
      <xdr:colOff>419100</xdr:colOff>
      <xdr:row>27</xdr:row>
      <xdr:rowOff>0</xdr:rowOff>
    </xdr:to>
    <xdr:sp macro="" textlink="">
      <xdr:nvSpPr>
        <xdr:cNvPr id="52" name="Line 51">
          <a:extLst>
            <a:ext uri="{FF2B5EF4-FFF2-40B4-BE49-F238E27FC236}">
              <a16:creationId xmlns:a16="http://schemas.microsoft.com/office/drawing/2014/main" id="{88C3D7FE-E5D6-4E98-97EA-158D11C53E30}"/>
            </a:ext>
          </a:extLst>
        </xdr:cNvPr>
        <xdr:cNvSpPr>
          <a:spLocks noChangeShapeType="1"/>
        </xdr:cNvSpPr>
      </xdr:nvSpPr>
      <xdr:spPr bwMode="auto">
        <a:xfrm flipV="1">
          <a:off x="7665720" y="994410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361950</xdr:colOff>
      <xdr:row>21</xdr:row>
      <xdr:rowOff>628650</xdr:rowOff>
    </xdr:from>
    <xdr:to>
      <xdr:col>13</xdr:col>
      <xdr:colOff>361950</xdr:colOff>
      <xdr:row>26</xdr:row>
      <xdr:rowOff>571500</xdr:rowOff>
    </xdr:to>
    <xdr:sp macro="" textlink="">
      <xdr:nvSpPr>
        <xdr:cNvPr id="53" name="Line 52">
          <a:extLst>
            <a:ext uri="{FF2B5EF4-FFF2-40B4-BE49-F238E27FC236}">
              <a16:creationId xmlns:a16="http://schemas.microsoft.com/office/drawing/2014/main" id="{024C11B7-CAB8-49E2-A743-52D254BCA162}"/>
            </a:ext>
          </a:extLst>
        </xdr:cNvPr>
        <xdr:cNvSpPr>
          <a:spLocks noChangeShapeType="1"/>
        </xdr:cNvSpPr>
      </xdr:nvSpPr>
      <xdr:spPr bwMode="auto">
        <a:xfrm flipV="1">
          <a:off x="8759190" y="8065770"/>
          <a:ext cx="0" cy="24498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419100</xdr:colOff>
      <xdr:row>24</xdr:row>
      <xdr:rowOff>0</xdr:rowOff>
    </xdr:from>
    <xdr:to>
      <xdr:col>5</xdr:col>
      <xdr:colOff>419100</xdr:colOff>
      <xdr:row>25</xdr:row>
      <xdr:rowOff>0</xdr:rowOff>
    </xdr:to>
    <xdr:sp macro="" textlink="">
      <xdr:nvSpPr>
        <xdr:cNvPr id="54" name="Line 53">
          <a:extLst>
            <a:ext uri="{FF2B5EF4-FFF2-40B4-BE49-F238E27FC236}">
              <a16:creationId xmlns:a16="http://schemas.microsoft.com/office/drawing/2014/main" id="{088FAFC4-3C2A-4076-8375-3155A3B383BB}"/>
            </a:ext>
          </a:extLst>
        </xdr:cNvPr>
        <xdr:cNvSpPr>
          <a:spLocks noChangeShapeType="1"/>
        </xdr:cNvSpPr>
      </xdr:nvSpPr>
      <xdr:spPr bwMode="auto">
        <a:xfrm flipV="1">
          <a:off x="3703320" y="900684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409575</xdr:colOff>
      <xdr:row>26</xdr:row>
      <xdr:rowOff>0</xdr:rowOff>
    </xdr:from>
    <xdr:to>
      <xdr:col>5</xdr:col>
      <xdr:colOff>409575</xdr:colOff>
      <xdr:row>27</xdr:row>
      <xdr:rowOff>0</xdr:rowOff>
    </xdr:to>
    <xdr:sp macro="" textlink="">
      <xdr:nvSpPr>
        <xdr:cNvPr id="55" name="Line 54">
          <a:extLst>
            <a:ext uri="{FF2B5EF4-FFF2-40B4-BE49-F238E27FC236}">
              <a16:creationId xmlns:a16="http://schemas.microsoft.com/office/drawing/2014/main" id="{CA5AA4C4-AC6D-4015-B569-1B03F1C2651A}"/>
            </a:ext>
          </a:extLst>
        </xdr:cNvPr>
        <xdr:cNvSpPr>
          <a:spLocks noChangeShapeType="1"/>
        </xdr:cNvSpPr>
      </xdr:nvSpPr>
      <xdr:spPr bwMode="auto">
        <a:xfrm flipV="1">
          <a:off x="3693795" y="994410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670560</xdr:colOff>
          <xdr:row>1</xdr:row>
          <xdr:rowOff>106680</xdr:rowOff>
        </xdr:from>
        <xdr:to>
          <xdr:col>4</xdr:col>
          <xdr:colOff>198120</xdr:colOff>
          <xdr:row>4</xdr:row>
          <xdr:rowOff>38100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4EA492A4-C5AC-484D-A12F-9FB10C3EA6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Translation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333375</xdr:colOff>
      <xdr:row>7</xdr:row>
      <xdr:rowOff>47625</xdr:rowOff>
    </xdr:from>
    <xdr:to>
      <xdr:col>15</xdr:col>
      <xdr:colOff>266700</xdr:colOff>
      <xdr:row>11</xdr:row>
      <xdr:rowOff>66675</xdr:rowOff>
    </xdr:to>
    <xdr:pic>
      <xdr:nvPicPr>
        <xdr:cNvPr id="2" name="Picture 2" descr="Kiwi_Fruit_Nectar_petit">
          <a:extLst>
            <a:ext uri="{FF2B5EF4-FFF2-40B4-BE49-F238E27FC236}">
              <a16:creationId xmlns:a16="http://schemas.microsoft.com/office/drawing/2014/main" id="{49595546-0FC6-4848-A641-A1A5013C7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5" y="2394585"/>
          <a:ext cx="832485" cy="712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335280</xdr:colOff>
          <xdr:row>5</xdr:row>
          <xdr:rowOff>30480</xdr:rowOff>
        </xdr:from>
        <xdr:to>
          <xdr:col>24</xdr:col>
          <xdr:colOff>411480</xdr:colOff>
          <xdr:row>10</xdr:row>
          <xdr:rowOff>259080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913DB424-B32D-4FB9-8C63-0BD23F38B7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41148" rIns="54864" bIns="41148" anchor="ctr" upright="1"/>
            <a:lstStyle/>
            <a:p>
              <a:pPr algn="ctr" rtl="0">
                <a:defRPr sz="1000"/>
              </a:pPr>
              <a:r>
                <a:rPr lang="fr-FR" sz="2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Decision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335280</xdr:colOff>
          <xdr:row>1</xdr:row>
          <xdr:rowOff>381000</xdr:rowOff>
        </xdr:from>
        <xdr:to>
          <xdr:col>24</xdr:col>
          <xdr:colOff>411480</xdr:colOff>
          <xdr:row>2</xdr:row>
          <xdr:rowOff>312420</xdr:rowOff>
        </xdr:to>
        <xdr:sp macro="" textlink="">
          <xdr:nvSpPr>
            <xdr:cNvPr id="4098" name="Button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CAC9DA28-E888-49C9-86A9-85B6F4158C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Animation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198120</xdr:colOff>
          <xdr:row>2</xdr:row>
          <xdr:rowOff>30480</xdr:rowOff>
        </xdr:from>
        <xdr:to>
          <xdr:col>31</xdr:col>
          <xdr:colOff>0</xdr:colOff>
          <xdr:row>3</xdr:row>
          <xdr:rowOff>160020</xdr:rowOff>
        </xdr:to>
        <xdr:sp macro="" textlink="">
          <xdr:nvSpPr>
            <xdr:cNvPr id="4099" name="Button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BFEEDEE0-5D60-4C00-8E56-15D6E07F99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Restore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3</xdr:col>
      <xdr:colOff>0</xdr:colOff>
      <xdr:row>2</xdr:row>
      <xdr:rowOff>38100</xdr:rowOff>
    </xdr:from>
    <xdr:to>
      <xdr:col>18</xdr:col>
      <xdr:colOff>1</xdr:colOff>
      <xdr:row>3</xdr:row>
      <xdr:rowOff>43854</xdr:rowOff>
    </xdr:to>
    <xdr:pic>
      <xdr:nvPicPr>
        <xdr:cNvPr id="6" name="Image 5" descr="IUT 25-70">
          <a:extLst>
            <a:ext uri="{FF2B5EF4-FFF2-40B4-BE49-F238E27FC236}">
              <a16:creationId xmlns:a16="http://schemas.microsoft.com/office/drawing/2014/main" id="{CECAA32D-11D2-4406-8412-A448DCCBC6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519"/>
        <a:stretch/>
      </xdr:blipFill>
      <xdr:spPr bwMode="auto">
        <a:xfrm>
          <a:off x="320040" y="533400"/>
          <a:ext cx="7429501" cy="965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ogici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count"/>
      <sheetName val="Arnhem"/>
      <sheetName val="Vesoul"/>
      <sheetName val="Auckland"/>
      <sheetName val="Lorry1"/>
      <sheetName val="Lorry2"/>
      <sheetName val="Lorry3"/>
      <sheetName val="Wharehouse1"/>
      <sheetName val="Wharehouse2"/>
      <sheetName val="Wharehouse3"/>
      <sheetName val="Wharehouse4"/>
      <sheetName val="Wharehouse5"/>
      <sheetName val="Wharehouse6"/>
      <sheetName val="Wharehouse7"/>
      <sheetName val="Wharehouse8"/>
      <sheetName val="Wharehouse9"/>
      <sheetName val="Wharehouse10"/>
      <sheetName val="Liste_Elements"/>
      <sheetName val="Intercontinental_transport"/>
      <sheetName val="Purchasing"/>
      <sheetName val="Demande_alea"/>
      <sheetName val="Demand"/>
      <sheetName val="Distances"/>
      <sheetName val="Cout_revient"/>
      <sheetName val="Nomenclature"/>
      <sheetName val="Process"/>
      <sheetName val="Translation"/>
      <sheetName val="Order"/>
      <sheetName val="Europe"/>
      <sheetName val="Bilan"/>
      <sheetName val="Execution_Transports"/>
      <sheetName val="Graphiques_Produits"/>
      <sheetName val="Technique_Process_compo_source"/>
    </sheetNames>
    <definedNames>
      <definedName name="Animation"/>
      <definedName name="decision"/>
      <definedName name="Historique"/>
      <definedName name="retablir"/>
      <definedName name="Translation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">
          <cell r="K4">
            <v>10</v>
          </cell>
          <cell r="L4">
            <v>14</v>
          </cell>
          <cell r="M4">
            <v>15</v>
          </cell>
          <cell r="N4">
            <v>15</v>
          </cell>
          <cell r="O4">
            <v>15</v>
          </cell>
          <cell r="P4">
            <v>16</v>
          </cell>
          <cell r="Q4">
            <v>15</v>
          </cell>
          <cell r="R4">
            <v>15</v>
          </cell>
          <cell r="S4">
            <v>14</v>
          </cell>
          <cell r="T4">
            <v>13</v>
          </cell>
          <cell r="U4">
            <v>13</v>
          </cell>
          <cell r="V4">
            <v>13</v>
          </cell>
          <cell r="W4">
            <v>15</v>
          </cell>
          <cell r="X4">
            <v>16</v>
          </cell>
          <cell r="Y4">
            <v>22</v>
          </cell>
          <cell r="Z4">
            <v>20</v>
          </cell>
          <cell r="AA4">
            <v>21</v>
          </cell>
          <cell r="AB4">
            <v>22</v>
          </cell>
          <cell r="AC4">
            <v>19</v>
          </cell>
          <cell r="AD4">
            <v>19</v>
          </cell>
          <cell r="AE4">
            <v>18</v>
          </cell>
          <cell r="AF4">
            <v>17</v>
          </cell>
          <cell r="AG4">
            <v>16</v>
          </cell>
          <cell r="AH4">
            <v>19</v>
          </cell>
          <cell r="AI4">
            <v>20</v>
          </cell>
          <cell r="AJ4">
            <v>22</v>
          </cell>
          <cell r="AK4">
            <v>24</v>
          </cell>
          <cell r="AL4">
            <v>26</v>
          </cell>
          <cell r="AM4">
            <v>28</v>
          </cell>
          <cell r="AN4">
            <v>28</v>
          </cell>
          <cell r="AO4">
            <v>25</v>
          </cell>
          <cell r="AP4">
            <v>25</v>
          </cell>
          <cell r="AQ4">
            <v>22</v>
          </cell>
          <cell r="AR4">
            <v>19</v>
          </cell>
          <cell r="AS4">
            <v>21</v>
          </cell>
          <cell r="AT4">
            <v>20</v>
          </cell>
          <cell r="AU4">
            <v>24</v>
          </cell>
          <cell r="AV4">
            <v>26</v>
          </cell>
          <cell r="AW4">
            <v>28</v>
          </cell>
          <cell r="AX4">
            <v>31</v>
          </cell>
          <cell r="AY4">
            <v>34</v>
          </cell>
          <cell r="AZ4">
            <v>33</v>
          </cell>
          <cell r="BA4">
            <v>32</v>
          </cell>
          <cell r="BB4">
            <v>30</v>
          </cell>
          <cell r="BC4">
            <v>27</v>
          </cell>
          <cell r="BD4">
            <v>24</v>
          </cell>
          <cell r="BE4">
            <v>23</v>
          </cell>
        </row>
        <row r="5">
          <cell r="K5">
            <v>5</v>
          </cell>
          <cell r="L5">
            <v>6</v>
          </cell>
          <cell r="M5">
            <v>8</v>
          </cell>
          <cell r="N5">
            <v>10</v>
          </cell>
          <cell r="O5">
            <v>11</v>
          </cell>
          <cell r="P5">
            <v>11</v>
          </cell>
          <cell r="Q5">
            <v>11</v>
          </cell>
          <cell r="R5">
            <v>11</v>
          </cell>
          <cell r="S5">
            <v>10</v>
          </cell>
          <cell r="T5">
            <v>9</v>
          </cell>
          <cell r="U5">
            <v>8</v>
          </cell>
          <cell r="V5">
            <v>8</v>
          </cell>
          <cell r="W5">
            <v>12</v>
          </cell>
          <cell r="X5">
            <v>13</v>
          </cell>
          <cell r="Y5">
            <v>15</v>
          </cell>
          <cell r="Z5">
            <v>15</v>
          </cell>
          <cell r="AA5">
            <v>15</v>
          </cell>
          <cell r="AB5">
            <v>15</v>
          </cell>
          <cell r="AC5">
            <v>15</v>
          </cell>
          <cell r="AD5">
            <v>15</v>
          </cell>
          <cell r="AE5">
            <v>12</v>
          </cell>
          <cell r="AF5">
            <v>13</v>
          </cell>
          <cell r="AG5">
            <v>13</v>
          </cell>
          <cell r="AH5">
            <v>13</v>
          </cell>
          <cell r="AI5">
            <v>15</v>
          </cell>
          <cell r="AJ5">
            <v>17</v>
          </cell>
          <cell r="AK5">
            <v>20</v>
          </cell>
          <cell r="AL5">
            <v>21</v>
          </cell>
          <cell r="AM5">
            <v>20</v>
          </cell>
          <cell r="AN5">
            <v>23</v>
          </cell>
          <cell r="AO5">
            <v>22</v>
          </cell>
          <cell r="AP5">
            <v>18</v>
          </cell>
          <cell r="AQ5">
            <v>18</v>
          </cell>
          <cell r="AR5">
            <v>17</v>
          </cell>
          <cell r="AS5">
            <v>16</v>
          </cell>
          <cell r="AT5">
            <v>17</v>
          </cell>
          <cell r="AU5">
            <v>19</v>
          </cell>
          <cell r="AV5">
            <v>20</v>
          </cell>
          <cell r="AW5">
            <v>25</v>
          </cell>
          <cell r="AX5">
            <v>25</v>
          </cell>
          <cell r="AY5">
            <v>29</v>
          </cell>
          <cell r="AZ5">
            <v>26</v>
          </cell>
          <cell r="BA5">
            <v>25</v>
          </cell>
          <cell r="BB5">
            <v>24</v>
          </cell>
          <cell r="BC5">
            <v>22</v>
          </cell>
          <cell r="BD5">
            <v>21</v>
          </cell>
          <cell r="BE5">
            <v>19</v>
          </cell>
        </row>
        <row r="6">
          <cell r="K6">
            <v>22</v>
          </cell>
          <cell r="L6">
            <v>20</v>
          </cell>
          <cell r="M6">
            <v>24</v>
          </cell>
          <cell r="N6">
            <v>21</v>
          </cell>
          <cell r="O6">
            <v>23</v>
          </cell>
          <cell r="P6">
            <v>21</v>
          </cell>
          <cell r="Q6">
            <v>22</v>
          </cell>
          <cell r="R6">
            <v>21</v>
          </cell>
          <cell r="S6">
            <v>22</v>
          </cell>
          <cell r="T6">
            <v>22</v>
          </cell>
          <cell r="U6">
            <v>23</v>
          </cell>
          <cell r="V6">
            <v>23</v>
          </cell>
          <cell r="W6">
            <v>21</v>
          </cell>
          <cell r="X6">
            <v>22</v>
          </cell>
          <cell r="Y6">
            <v>22</v>
          </cell>
          <cell r="Z6">
            <v>22</v>
          </cell>
          <cell r="AA6">
            <v>23</v>
          </cell>
          <cell r="AB6">
            <v>21</v>
          </cell>
          <cell r="AC6">
            <v>21</v>
          </cell>
          <cell r="AD6">
            <v>21</v>
          </cell>
          <cell r="AE6">
            <v>23</v>
          </cell>
          <cell r="AF6">
            <v>22</v>
          </cell>
          <cell r="AG6">
            <v>24</v>
          </cell>
          <cell r="AH6">
            <v>21</v>
          </cell>
          <cell r="AI6">
            <v>20</v>
          </cell>
          <cell r="AJ6">
            <v>22</v>
          </cell>
          <cell r="AK6">
            <v>20</v>
          </cell>
          <cell r="AL6">
            <v>21</v>
          </cell>
          <cell r="AM6">
            <v>22</v>
          </cell>
          <cell r="AN6">
            <v>21</v>
          </cell>
          <cell r="AO6">
            <v>22</v>
          </cell>
          <cell r="AP6">
            <v>22</v>
          </cell>
          <cell r="AQ6">
            <v>24</v>
          </cell>
          <cell r="AR6">
            <v>22</v>
          </cell>
          <cell r="AS6">
            <v>23</v>
          </cell>
          <cell r="AT6">
            <v>23</v>
          </cell>
          <cell r="AU6">
            <v>23</v>
          </cell>
          <cell r="AV6">
            <v>22</v>
          </cell>
          <cell r="AW6">
            <v>23</v>
          </cell>
          <cell r="AX6">
            <v>22</v>
          </cell>
          <cell r="AY6">
            <v>24</v>
          </cell>
          <cell r="AZ6">
            <v>22</v>
          </cell>
          <cell r="BA6">
            <v>21</v>
          </cell>
          <cell r="BB6">
            <v>21</v>
          </cell>
          <cell r="BC6">
            <v>20</v>
          </cell>
          <cell r="BD6">
            <v>23</v>
          </cell>
          <cell r="BE6">
            <v>21</v>
          </cell>
        </row>
        <row r="7">
          <cell r="K7">
            <v>15</v>
          </cell>
          <cell r="L7">
            <v>14</v>
          </cell>
          <cell r="M7">
            <v>15</v>
          </cell>
          <cell r="N7">
            <v>15</v>
          </cell>
          <cell r="O7">
            <v>14</v>
          </cell>
          <cell r="P7">
            <v>15</v>
          </cell>
          <cell r="Q7">
            <v>15</v>
          </cell>
          <cell r="R7">
            <v>13</v>
          </cell>
          <cell r="S7">
            <v>14</v>
          </cell>
          <cell r="T7">
            <v>14</v>
          </cell>
          <cell r="U7">
            <v>15</v>
          </cell>
          <cell r="V7">
            <v>15</v>
          </cell>
          <cell r="W7">
            <v>15</v>
          </cell>
          <cell r="X7">
            <v>14</v>
          </cell>
          <cell r="Y7">
            <v>14</v>
          </cell>
          <cell r="Z7">
            <v>17</v>
          </cell>
          <cell r="AA7">
            <v>13</v>
          </cell>
          <cell r="AB7">
            <v>14</v>
          </cell>
          <cell r="AC7">
            <v>14</v>
          </cell>
          <cell r="AD7">
            <v>17</v>
          </cell>
          <cell r="AE7">
            <v>15</v>
          </cell>
          <cell r="AF7">
            <v>16</v>
          </cell>
          <cell r="AG7">
            <v>14</v>
          </cell>
          <cell r="AH7">
            <v>13</v>
          </cell>
          <cell r="AI7">
            <v>14</v>
          </cell>
          <cell r="AJ7">
            <v>17</v>
          </cell>
          <cell r="AK7">
            <v>16</v>
          </cell>
          <cell r="AL7">
            <v>15</v>
          </cell>
          <cell r="AM7">
            <v>14</v>
          </cell>
          <cell r="AN7">
            <v>15</v>
          </cell>
          <cell r="AO7">
            <v>15</v>
          </cell>
          <cell r="AP7">
            <v>15</v>
          </cell>
          <cell r="AQ7">
            <v>16</v>
          </cell>
          <cell r="AR7">
            <v>16</v>
          </cell>
          <cell r="AS7">
            <v>15</v>
          </cell>
          <cell r="AT7">
            <v>14</v>
          </cell>
          <cell r="AU7">
            <v>15</v>
          </cell>
          <cell r="AV7">
            <v>16</v>
          </cell>
          <cell r="AW7">
            <v>15</v>
          </cell>
          <cell r="AX7">
            <v>15</v>
          </cell>
          <cell r="AY7">
            <v>17</v>
          </cell>
          <cell r="AZ7">
            <v>15</v>
          </cell>
          <cell r="BA7">
            <v>16</v>
          </cell>
          <cell r="BB7">
            <v>16</v>
          </cell>
          <cell r="BC7">
            <v>14</v>
          </cell>
          <cell r="BD7">
            <v>15</v>
          </cell>
          <cell r="BE7">
            <v>16</v>
          </cell>
        </row>
        <row r="8">
          <cell r="K8">
            <v>27</v>
          </cell>
          <cell r="L8">
            <v>24</v>
          </cell>
          <cell r="M8">
            <v>22</v>
          </cell>
          <cell r="N8">
            <v>21</v>
          </cell>
          <cell r="O8">
            <v>19</v>
          </cell>
          <cell r="P8">
            <v>19</v>
          </cell>
          <cell r="Q8">
            <v>19</v>
          </cell>
          <cell r="R8">
            <v>19</v>
          </cell>
          <cell r="S8">
            <v>21</v>
          </cell>
          <cell r="T8">
            <v>24</v>
          </cell>
          <cell r="U8">
            <v>26</v>
          </cell>
          <cell r="V8">
            <v>26</v>
          </cell>
          <cell r="W8">
            <v>26</v>
          </cell>
          <cell r="X8">
            <v>25</v>
          </cell>
          <cell r="Y8">
            <v>24</v>
          </cell>
          <cell r="Z8">
            <v>22</v>
          </cell>
          <cell r="AA8">
            <v>17</v>
          </cell>
          <cell r="AB8">
            <v>16</v>
          </cell>
          <cell r="AC8">
            <v>20</v>
          </cell>
          <cell r="AD8">
            <v>18</v>
          </cell>
          <cell r="AE8">
            <v>22</v>
          </cell>
          <cell r="AF8">
            <v>25</v>
          </cell>
          <cell r="AG8">
            <v>25</v>
          </cell>
          <cell r="AH8">
            <v>25</v>
          </cell>
          <cell r="AI8">
            <v>24</v>
          </cell>
          <cell r="AJ8">
            <v>24</v>
          </cell>
          <cell r="AK8">
            <v>21</v>
          </cell>
          <cell r="AL8">
            <v>22</v>
          </cell>
          <cell r="AM8">
            <v>17</v>
          </cell>
          <cell r="AN8">
            <v>16</v>
          </cell>
          <cell r="AO8">
            <v>19</v>
          </cell>
          <cell r="AP8">
            <v>20</v>
          </cell>
          <cell r="AQ8">
            <v>21</v>
          </cell>
          <cell r="AR8">
            <v>24</v>
          </cell>
          <cell r="AS8">
            <v>25</v>
          </cell>
          <cell r="AT8">
            <v>27</v>
          </cell>
          <cell r="AU8">
            <v>25</v>
          </cell>
          <cell r="AV8">
            <v>25</v>
          </cell>
          <cell r="AW8">
            <v>21</v>
          </cell>
          <cell r="AX8">
            <v>21</v>
          </cell>
          <cell r="AY8">
            <v>19</v>
          </cell>
          <cell r="AZ8">
            <v>18</v>
          </cell>
          <cell r="BA8">
            <v>19</v>
          </cell>
          <cell r="BB8">
            <v>20</v>
          </cell>
          <cell r="BC8">
            <v>23</v>
          </cell>
          <cell r="BD8">
            <v>23</v>
          </cell>
          <cell r="BE8">
            <v>26</v>
          </cell>
        </row>
        <row r="9">
          <cell r="K9">
            <v>13</v>
          </cell>
          <cell r="L9">
            <v>14</v>
          </cell>
          <cell r="M9">
            <v>14</v>
          </cell>
          <cell r="N9">
            <v>14</v>
          </cell>
          <cell r="O9">
            <v>13</v>
          </cell>
          <cell r="P9">
            <v>14</v>
          </cell>
          <cell r="Q9">
            <v>17</v>
          </cell>
          <cell r="R9">
            <v>16</v>
          </cell>
          <cell r="S9">
            <v>19</v>
          </cell>
          <cell r="T9">
            <v>17</v>
          </cell>
          <cell r="U9">
            <v>17</v>
          </cell>
          <cell r="V9">
            <v>15</v>
          </cell>
          <cell r="W9">
            <v>13</v>
          </cell>
          <cell r="X9">
            <v>11</v>
          </cell>
          <cell r="Y9">
            <v>12</v>
          </cell>
          <cell r="Z9">
            <v>12</v>
          </cell>
          <cell r="AA9">
            <v>14</v>
          </cell>
          <cell r="AB9">
            <v>14</v>
          </cell>
          <cell r="AC9">
            <v>16</v>
          </cell>
          <cell r="AD9">
            <v>17</v>
          </cell>
          <cell r="AE9">
            <v>20</v>
          </cell>
          <cell r="AF9">
            <v>16</v>
          </cell>
          <cell r="AG9">
            <v>17</v>
          </cell>
          <cell r="AH9">
            <v>17</v>
          </cell>
          <cell r="AI9">
            <v>14</v>
          </cell>
          <cell r="AJ9">
            <v>13</v>
          </cell>
          <cell r="AK9">
            <v>12</v>
          </cell>
          <cell r="AL9">
            <v>11</v>
          </cell>
          <cell r="AM9">
            <v>14</v>
          </cell>
          <cell r="AN9">
            <v>14</v>
          </cell>
          <cell r="AO9">
            <v>17</v>
          </cell>
          <cell r="AP9">
            <v>17</v>
          </cell>
          <cell r="AQ9">
            <v>15</v>
          </cell>
          <cell r="AR9">
            <v>18</v>
          </cell>
          <cell r="AS9">
            <v>18</v>
          </cell>
          <cell r="AT9">
            <v>15</v>
          </cell>
          <cell r="AU9">
            <v>13</v>
          </cell>
          <cell r="AV9">
            <v>12</v>
          </cell>
          <cell r="AW9">
            <v>12</v>
          </cell>
          <cell r="AX9">
            <v>13</v>
          </cell>
          <cell r="AY9">
            <v>14</v>
          </cell>
          <cell r="AZ9">
            <v>16</v>
          </cell>
          <cell r="BA9">
            <v>18</v>
          </cell>
          <cell r="BB9">
            <v>16</v>
          </cell>
          <cell r="BC9">
            <v>17</v>
          </cell>
          <cell r="BD9">
            <v>19</v>
          </cell>
          <cell r="BE9">
            <v>16</v>
          </cell>
        </row>
        <row r="10">
          <cell r="K10">
            <v>13</v>
          </cell>
          <cell r="L10">
            <v>11</v>
          </cell>
          <cell r="M10">
            <v>13</v>
          </cell>
          <cell r="N10">
            <v>10</v>
          </cell>
          <cell r="O10">
            <v>12</v>
          </cell>
          <cell r="P10">
            <v>13</v>
          </cell>
          <cell r="Q10">
            <v>13</v>
          </cell>
          <cell r="R10">
            <v>12</v>
          </cell>
          <cell r="S10">
            <v>14</v>
          </cell>
          <cell r="T10">
            <v>15</v>
          </cell>
          <cell r="U10">
            <v>17</v>
          </cell>
          <cell r="V10">
            <v>16</v>
          </cell>
          <cell r="W10">
            <v>19</v>
          </cell>
          <cell r="X10">
            <v>18</v>
          </cell>
          <cell r="Y10">
            <v>21</v>
          </cell>
          <cell r="Z10">
            <v>22</v>
          </cell>
          <cell r="AA10">
            <v>23</v>
          </cell>
          <cell r="AB10">
            <v>25</v>
          </cell>
          <cell r="AC10">
            <v>25</v>
          </cell>
          <cell r="AD10">
            <v>25</v>
          </cell>
          <cell r="AE10">
            <v>24</v>
          </cell>
          <cell r="AF10">
            <v>23</v>
          </cell>
          <cell r="AG10">
            <v>23</v>
          </cell>
          <cell r="AH10">
            <v>22</v>
          </cell>
          <cell r="AI10">
            <v>22</v>
          </cell>
          <cell r="AJ10">
            <v>22</v>
          </cell>
          <cell r="AK10">
            <v>22</v>
          </cell>
          <cell r="AL10">
            <v>19</v>
          </cell>
          <cell r="AM10">
            <v>20</v>
          </cell>
          <cell r="AN10">
            <v>18</v>
          </cell>
          <cell r="AO10">
            <v>20</v>
          </cell>
          <cell r="AP10">
            <v>20</v>
          </cell>
          <cell r="AQ10">
            <v>23</v>
          </cell>
          <cell r="AR10">
            <v>24</v>
          </cell>
          <cell r="AS10">
            <v>26</v>
          </cell>
          <cell r="AT10">
            <v>27</v>
          </cell>
          <cell r="AU10">
            <v>30</v>
          </cell>
          <cell r="AV10">
            <v>31</v>
          </cell>
          <cell r="AW10">
            <v>33</v>
          </cell>
          <cell r="AX10">
            <v>33</v>
          </cell>
          <cell r="AY10">
            <v>35</v>
          </cell>
          <cell r="AZ10">
            <v>34</v>
          </cell>
          <cell r="BA10">
            <v>36</v>
          </cell>
          <cell r="BB10">
            <v>36</v>
          </cell>
          <cell r="BC10">
            <v>34</v>
          </cell>
          <cell r="BD10">
            <v>34</v>
          </cell>
          <cell r="BE10">
            <v>32</v>
          </cell>
        </row>
        <row r="11">
          <cell r="K11">
            <v>7</v>
          </cell>
          <cell r="L11">
            <v>4</v>
          </cell>
          <cell r="M11">
            <v>6</v>
          </cell>
          <cell r="N11">
            <v>6</v>
          </cell>
          <cell r="O11">
            <v>5</v>
          </cell>
          <cell r="P11">
            <v>6</v>
          </cell>
          <cell r="Q11">
            <v>6</v>
          </cell>
          <cell r="R11">
            <v>8</v>
          </cell>
          <cell r="S11">
            <v>10</v>
          </cell>
          <cell r="T11">
            <v>10</v>
          </cell>
          <cell r="U11">
            <v>9</v>
          </cell>
          <cell r="V11">
            <v>9</v>
          </cell>
          <cell r="W11">
            <v>12</v>
          </cell>
          <cell r="X11">
            <v>14</v>
          </cell>
          <cell r="Y11">
            <v>15</v>
          </cell>
          <cell r="Z11">
            <v>15</v>
          </cell>
          <cell r="AA11">
            <v>14</v>
          </cell>
          <cell r="AB11">
            <v>16</v>
          </cell>
          <cell r="AC11">
            <v>15</v>
          </cell>
          <cell r="AD11">
            <v>15</v>
          </cell>
          <cell r="AE11">
            <v>16</v>
          </cell>
          <cell r="AF11">
            <v>15</v>
          </cell>
          <cell r="AG11">
            <v>15</v>
          </cell>
          <cell r="AH11">
            <v>15</v>
          </cell>
          <cell r="AI11">
            <v>15</v>
          </cell>
          <cell r="AJ11">
            <v>14</v>
          </cell>
          <cell r="AK11">
            <v>15</v>
          </cell>
          <cell r="AL11">
            <v>13</v>
          </cell>
          <cell r="AM11">
            <v>14</v>
          </cell>
          <cell r="AN11">
            <v>15</v>
          </cell>
          <cell r="AO11">
            <v>15</v>
          </cell>
          <cell r="AP11">
            <v>15</v>
          </cell>
          <cell r="AQ11">
            <v>16</v>
          </cell>
          <cell r="AR11">
            <v>16</v>
          </cell>
          <cell r="AS11">
            <v>17</v>
          </cell>
          <cell r="AT11">
            <v>19</v>
          </cell>
          <cell r="AU11">
            <v>20</v>
          </cell>
          <cell r="AV11">
            <v>24</v>
          </cell>
          <cell r="AW11">
            <v>26</v>
          </cell>
          <cell r="AX11">
            <v>26</v>
          </cell>
          <cell r="AY11">
            <v>27</v>
          </cell>
          <cell r="AZ11">
            <v>27</v>
          </cell>
          <cell r="BA11">
            <v>27</v>
          </cell>
          <cell r="BB11">
            <v>27</v>
          </cell>
          <cell r="BC11">
            <v>27</v>
          </cell>
          <cell r="BD11">
            <v>26</v>
          </cell>
          <cell r="BE11">
            <v>25</v>
          </cell>
        </row>
        <row r="12">
          <cell r="K12">
            <v>14</v>
          </cell>
          <cell r="L12">
            <v>17</v>
          </cell>
          <cell r="M12">
            <v>14</v>
          </cell>
          <cell r="N12">
            <v>20</v>
          </cell>
          <cell r="O12">
            <v>16</v>
          </cell>
          <cell r="P12">
            <v>16</v>
          </cell>
          <cell r="Q12">
            <v>11</v>
          </cell>
          <cell r="R12">
            <v>13</v>
          </cell>
          <cell r="S12">
            <v>15</v>
          </cell>
          <cell r="T12">
            <v>11</v>
          </cell>
          <cell r="U12">
            <v>16</v>
          </cell>
          <cell r="V12">
            <v>16</v>
          </cell>
          <cell r="W12">
            <v>22</v>
          </cell>
          <cell r="X12">
            <v>20</v>
          </cell>
          <cell r="Y12">
            <v>27</v>
          </cell>
          <cell r="Z12">
            <v>23</v>
          </cell>
          <cell r="AA12">
            <v>26</v>
          </cell>
          <cell r="AB12">
            <v>19</v>
          </cell>
          <cell r="AC12">
            <v>18</v>
          </cell>
          <cell r="AD12">
            <v>17</v>
          </cell>
          <cell r="AE12">
            <v>20</v>
          </cell>
          <cell r="AF12">
            <v>16</v>
          </cell>
          <cell r="AG12">
            <v>18</v>
          </cell>
          <cell r="AH12">
            <v>21</v>
          </cell>
          <cell r="AI12">
            <v>29</v>
          </cell>
          <cell r="AJ12">
            <v>26</v>
          </cell>
          <cell r="AK12">
            <v>31</v>
          </cell>
          <cell r="AL12">
            <v>25</v>
          </cell>
          <cell r="AM12">
            <v>24</v>
          </cell>
          <cell r="AN12">
            <v>25</v>
          </cell>
          <cell r="AO12">
            <v>25</v>
          </cell>
          <cell r="AP12">
            <v>19</v>
          </cell>
          <cell r="AQ12">
            <v>20</v>
          </cell>
          <cell r="AR12">
            <v>21</v>
          </cell>
          <cell r="AS12">
            <v>24</v>
          </cell>
          <cell r="AT12">
            <v>25</v>
          </cell>
          <cell r="AU12">
            <v>30</v>
          </cell>
          <cell r="AV12">
            <v>34</v>
          </cell>
          <cell r="AW12">
            <v>32</v>
          </cell>
          <cell r="AX12">
            <v>34</v>
          </cell>
          <cell r="AY12">
            <v>29</v>
          </cell>
          <cell r="AZ12">
            <v>29</v>
          </cell>
          <cell r="BA12">
            <v>27</v>
          </cell>
          <cell r="BB12">
            <v>28</v>
          </cell>
          <cell r="BC12">
            <v>23</v>
          </cell>
          <cell r="BD12">
            <v>22</v>
          </cell>
          <cell r="BE12">
            <v>26</v>
          </cell>
        </row>
        <row r="13">
          <cell r="K13">
            <v>10</v>
          </cell>
          <cell r="L13">
            <v>8</v>
          </cell>
          <cell r="M13">
            <v>7</v>
          </cell>
          <cell r="N13">
            <v>8</v>
          </cell>
          <cell r="O13">
            <v>10</v>
          </cell>
          <cell r="P13">
            <v>7</v>
          </cell>
          <cell r="Q13">
            <v>5</v>
          </cell>
          <cell r="R13">
            <v>6</v>
          </cell>
          <cell r="S13">
            <v>9</v>
          </cell>
          <cell r="T13">
            <v>8</v>
          </cell>
          <cell r="U13">
            <v>9</v>
          </cell>
          <cell r="V13">
            <v>10</v>
          </cell>
          <cell r="W13">
            <v>10</v>
          </cell>
          <cell r="X13">
            <v>14</v>
          </cell>
          <cell r="Y13">
            <v>13</v>
          </cell>
          <cell r="Z13">
            <v>15</v>
          </cell>
          <cell r="AA13">
            <v>17</v>
          </cell>
          <cell r="AB13">
            <v>10</v>
          </cell>
          <cell r="AC13">
            <v>10</v>
          </cell>
          <cell r="AD13">
            <v>11</v>
          </cell>
          <cell r="AE13">
            <v>7</v>
          </cell>
          <cell r="AF13">
            <v>12</v>
          </cell>
          <cell r="AG13">
            <v>15</v>
          </cell>
          <cell r="AH13">
            <v>16</v>
          </cell>
          <cell r="AI13">
            <v>19</v>
          </cell>
          <cell r="AJ13">
            <v>17</v>
          </cell>
          <cell r="AK13">
            <v>21</v>
          </cell>
          <cell r="AL13">
            <v>19</v>
          </cell>
          <cell r="AM13">
            <v>16</v>
          </cell>
          <cell r="AN13">
            <v>15</v>
          </cell>
          <cell r="AO13">
            <v>13</v>
          </cell>
          <cell r="AP13">
            <v>16</v>
          </cell>
          <cell r="AQ13">
            <v>17</v>
          </cell>
          <cell r="AR13">
            <v>19</v>
          </cell>
          <cell r="AS13">
            <v>20</v>
          </cell>
          <cell r="AT13">
            <v>16</v>
          </cell>
          <cell r="AU13">
            <v>22</v>
          </cell>
          <cell r="AV13">
            <v>21</v>
          </cell>
          <cell r="AW13">
            <v>23</v>
          </cell>
          <cell r="AX13">
            <v>25</v>
          </cell>
          <cell r="AY13">
            <v>23</v>
          </cell>
          <cell r="AZ13">
            <v>23</v>
          </cell>
          <cell r="BA13">
            <v>21</v>
          </cell>
          <cell r="BB13">
            <v>17</v>
          </cell>
          <cell r="BC13">
            <v>17</v>
          </cell>
          <cell r="BD13">
            <v>23</v>
          </cell>
          <cell r="BE13">
            <v>21</v>
          </cell>
        </row>
        <row r="14">
          <cell r="K14">
            <v>33</v>
          </cell>
          <cell r="L14">
            <v>28</v>
          </cell>
          <cell r="M14">
            <v>24</v>
          </cell>
          <cell r="N14">
            <v>24</v>
          </cell>
          <cell r="O14">
            <v>29</v>
          </cell>
          <cell r="P14">
            <v>34</v>
          </cell>
          <cell r="Q14">
            <v>34</v>
          </cell>
          <cell r="R14">
            <v>38</v>
          </cell>
          <cell r="S14">
            <v>36</v>
          </cell>
          <cell r="T14">
            <v>30</v>
          </cell>
          <cell r="U14">
            <v>32</v>
          </cell>
          <cell r="V14">
            <v>26</v>
          </cell>
          <cell r="W14">
            <v>25</v>
          </cell>
          <cell r="X14">
            <v>18</v>
          </cell>
          <cell r="Y14">
            <v>21</v>
          </cell>
          <cell r="Z14">
            <v>20</v>
          </cell>
          <cell r="AA14">
            <v>21</v>
          </cell>
          <cell r="AB14">
            <v>21</v>
          </cell>
          <cell r="AC14">
            <v>29</v>
          </cell>
          <cell r="AD14">
            <v>28</v>
          </cell>
          <cell r="AE14">
            <v>25</v>
          </cell>
          <cell r="AF14">
            <v>26</v>
          </cell>
          <cell r="AG14">
            <v>26</v>
          </cell>
          <cell r="AH14">
            <v>21</v>
          </cell>
          <cell r="AI14">
            <v>16</v>
          </cell>
          <cell r="AJ14">
            <v>18</v>
          </cell>
          <cell r="AK14">
            <v>16</v>
          </cell>
          <cell r="AL14">
            <v>17</v>
          </cell>
          <cell r="AM14">
            <v>15</v>
          </cell>
          <cell r="AN14">
            <v>21</v>
          </cell>
          <cell r="AO14">
            <v>20</v>
          </cell>
          <cell r="AP14">
            <v>21</v>
          </cell>
          <cell r="AQ14">
            <v>24</v>
          </cell>
          <cell r="AR14">
            <v>19</v>
          </cell>
          <cell r="AS14">
            <v>20</v>
          </cell>
          <cell r="AT14">
            <v>15</v>
          </cell>
          <cell r="AU14">
            <v>12</v>
          </cell>
          <cell r="AV14">
            <v>14</v>
          </cell>
          <cell r="AW14">
            <v>15</v>
          </cell>
          <cell r="AX14">
            <v>9</v>
          </cell>
          <cell r="AY14">
            <v>13</v>
          </cell>
          <cell r="AZ14">
            <v>14</v>
          </cell>
          <cell r="BA14">
            <v>12</v>
          </cell>
          <cell r="BB14">
            <v>10</v>
          </cell>
          <cell r="BC14">
            <v>17</v>
          </cell>
          <cell r="BD14">
            <v>12</v>
          </cell>
          <cell r="BE14">
            <v>11</v>
          </cell>
        </row>
        <row r="15">
          <cell r="K15">
            <v>13</v>
          </cell>
          <cell r="L15">
            <v>10</v>
          </cell>
          <cell r="M15">
            <v>14</v>
          </cell>
          <cell r="N15">
            <v>18</v>
          </cell>
          <cell r="O15">
            <v>14</v>
          </cell>
          <cell r="P15">
            <v>17</v>
          </cell>
          <cell r="Q15">
            <v>20</v>
          </cell>
          <cell r="R15">
            <v>20</v>
          </cell>
          <cell r="S15">
            <v>19</v>
          </cell>
          <cell r="T15">
            <v>19</v>
          </cell>
          <cell r="U15">
            <v>17</v>
          </cell>
          <cell r="V15">
            <v>15</v>
          </cell>
          <cell r="W15">
            <v>13</v>
          </cell>
          <cell r="X15">
            <v>14</v>
          </cell>
          <cell r="Y15">
            <v>14</v>
          </cell>
          <cell r="Z15">
            <v>11</v>
          </cell>
          <cell r="AA15">
            <v>15</v>
          </cell>
          <cell r="AB15">
            <v>12</v>
          </cell>
          <cell r="AC15">
            <v>15</v>
          </cell>
          <cell r="AD15">
            <v>15</v>
          </cell>
          <cell r="AE15">
            <v>22</v>
          </cell>
          <cell r="AF15">
            <v>19</v>
          </cell>
          <cell r="AG15">
            <v>16</v>
          </cell>
          <cell r="AH15">
            <v>18</v>
          </cell>
          <cell r="AI15">
            <v>14</v>
          </cell>
          <cell r="AJ15">
            <v>14</v>
          </cell>
          <cell r="AK15">
            <v>13</v>
          </cell>
          <cell r="AL15">
            <v>14</v>
          </cell>
          <cell r="AM15">
            <v>12</v>
          </cell>
          <cell r="AN15">
            <v>15</v>
          </cell>
          <cell r="AO15">
            <v>18</v>
          </cell>
          <cell r="AP15">
            <v>17</v>
          </cell>
          <cell r="AQ15">
            <v>16</v>
          </cell>
          <cell r="AR15">
            <v>18</v>
          </cell>
          <cell r="AS15">
            <v>13</v>
          </cell>
          <cell r="AT15">
            <v>12</v>
          </cell>
          <cell r="AU15">
            <v>12</v>
          </cell>
          <cell r="AV15">
            <v>10</v>
          </cell>
          <cell r="AW15">
            <v>10</v>
          </cell>
          <cell r="AX15">
            <v>9</v>
          </cell>
          <cell r="AY15">
            <v>13</v>
          </cell>
          <cell r="AZ15">
            <v>13</v>
          </cell>
          <cell r="BA15">
            <v>14</v>
          </cell>
          <cell r="BB15">
            <v>17</v>
          </cell>
          <cell r="BC15">
            <v>19</v>
          </cell>
          <cell r="BD15">
            <v>16</v>
          </cell>
          <cell r="BE15">
            <v>14</v>
          </cell>
        </row>
        <row r="16">
          <cell r="K16">
            <v>19</v>
          </cell>
          <cell r="L16">
            <v>25</v>
          </cell>
          <cell r="M16">
            <v>25</v>
          </cell>
          <cell r="N16">
            <v>29</v>
          </cell>
          <cell r="O16">
            <v>31</v>
          </cell>
          <cell r="P16">
            <v>32</v>
          </cell>
          <cell r="Q16">
            <v>32</v>
          </cell>
          <cell r="R16">
            <v>28</v>
          </cell>
          <cell r="S16">
            <v>23</v>
          </cell>
          <cell r="T16">
            <v>21</v>
          </cell>
          <cell r="U16">
            <v>17</v>
          </cell>
          <cell r="V16">
            <v>22</v>
          </cell>
          <cell r="W16">
            <v>21</v>
          </cell>
          <cell r="X16">
            <v>23</v>
          </cell>
          <cell r="Y16">
            <v>26</v>
          </cell>
          <cell r="Z16">
            <v>25</v>
          </cell>
          <cell r="AA16">
            <v>24</v>
          </cell>
          <cell r="AB16">
            <v>27</v>
          </cell>
          <cell r="AC16">
            <v>29</v>
          </cell>
          <cell r="AD16">
            <v>27</v>
          </cell>
          <cell r="AE16">
            <v>22</v>
          </cell>
          <cell r="AF16">
            <v>25</v>
          </cell>
          <cell r="AG16">
            <v>18</v>
          </cell>
          <cell r="AH16">
            <v>20</v>
          </cell>
          <cell r="AI16">
            <v>19</v>
          </cell>
          <cell r="AJ16">
            <v>19</v>
          </cell>
          <cell r="AK16">
            <v>21</v>
          </cell>
          <cell r="AL16">
            <v>24</v>
          </cell>
          <cell r="AM16">
            <v>24</v>
          </cell>
          <cell r="AN16">
            <v>25</v>
          </cell>
          <cell r="AO16">
            <v>26</v>
          </cell>
          <cell r="AP16">
            <v>22</v>
          </cell>
          <cell r="AQ16">
            <v>20</v>
          </cell>
          <cell r="AR16">
            <v>19</v>
          </cell>
          <cell r="AS16">
            <v>19</v>
          </cell>
          <cell r="AT16">
            <v>16</v>
          </cell>
          <cell r="AU16">
            <v>18</v>
          </cell>
          <cell r="AV16">
            <v>19</v>
          </cell>
          <cell r="AW16">
            <v>16</v>
          </cell>
          <cell r="AX16">
            <v>20</v>
          </cell>
          <cell r="AY16">
            <v>22</v>
          </cell>
          <cell r="AZ16">
            <v>21</v>
          </cell>
          <cell r="BA16">
            <v>25</v>
          </cell>
          <cell r="BB16">
            <v>22</v>
          </cell>
          <cell r="BC16">
            <v>20</v>
          </cell>
          <cell r="BD16">
            <v>15</v>
          </cell>
          <cell r="BE16">
            <v>17</v>
          </cell>
        </row>
        <row r="17">
          <cell r="K17">
            <v>21</v>
          </cell>
          <cell r="L17">
            <v>20</v>
          </cell>
          <cell r="M17">
            <v>24</v>
          </cell>
          <cell r="N17">
            <v>23</v>
          </cell>
          <cell r="O17">
            <v>21</v>
          </cell>
          <cell r="P17">
            <v>18</v>
          </cell>
          <cell r="Q17">
            <v>17</v>
          </cell>
          <cell r="R17">
            <v>16</v>
          </cell>
          <cell r="S17">
            <v>15</v>
          </cell>
          <cell r="T17">
            <v>12</v>
          </cell>
          <cell r="U17">
            <v>14</v>
          </cell>
          <cell r="V17">
            <v>17</v>
          </cell>
          <cell r="W17">
            <v>19</v>
          </cell>
          <cell r="X17">
            <v>20</v>
          </cell>
          <cell r="Y17">
            <v>22</v>
          </cell>
          <cell r="Z17">
            <v>19</v>
          </cell>
          <cell r="AA17">
            <v>19</v>
          </cell>
          <cell r="AB17">
            <v>19</v>
          </cell>
          <cell r="AC17">
            <v>19</v>
          </cell>
          <cell r="AD17">
            <v>14</v>
          </cell>
          <cell r="AE17">
            <v>13</v>
          </cell>
          <cell r="AF17">
            <v>10</v>
          </cell>
          <cell r="AG17">
            <v>14</v>
          </cell>
          <cell r="AH17">
            <v>13</v>
          </cell>
          <cell r="AI17">
            <v>20</v>
          </cell>
          <cell r="AJ17">
            <v>18</v>
          </cell>
          <cell r="AK17">
            <v>19</v>
          </cell>
          <cell r="AL17">
            <v>18</v>
          </cell>
          <cell r="AM17">
            <v>19</v>
          </cell>
          <cell r="AN17">
            <v>14</v>
          </cell>
          <cell r="AO17">
            <v>11</v>
          </cell>
          <cell r="AP17">
            <v>12</v>
          </cell>
          <cell r="AQ17">
            <v>7</v>
          </cell>
          <cell r="AR17">
            <v>11</v>
          </cell>
          <cell r="AS17">
            <v>11</v>
          </cell>
          <cell r="AT17">
            <v>16</v>
          </cell>
          <cell r="AU17">
            <v>15</v>
          </cell>
          <cell r="AV17">
            <v>15</v>
          </cell>
          <cell r="AW17">
            <v>13</v>
          </cell>
          <cell r="AX17">
            <v>16</v>
          </cell>
          <cell r="AY17">
            <v>13</v>
          </cell>
          <cell r="AZ17">
            <v>13</v>
          </cell>
          <cell r="BA17">
            <v>13</v>
          </cell>
          <cell r="BB17">
            <v>9</v>
          </cell>
          <cell r="BC17">
            <v>9</v>
          </cell>
          <cell r="BD17">
            <v>11</v>
          </cell>
          <cell r="BE17">
            <v>9</v>
          </cell>
        </row>
        <row r="18"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  <cell r="Q18">
            <v>2</v>
          </cell>
          <cell r="R18">
            <v>1</v>
          </cell>
          <cell r="S18">
            <v>2</v>
          </cell>
          <cell r="T18">
            <v>2</v>
          </cell>
          <cell r="U18">
            <v>5</v>
          </cell>
          <cell r="V18">
            <v>7</v>
          </cell>
          <cell r="W18">
            <v>4</v>
          </cell>
          <cell r="X18">
            <v>6</v>
          </cell>
          <cell r="Y18">
            <v>9</v>
          </cell>
          <cell r="Z18">
            <v>10</v>
          </cell>
          <cell r="AA18">
            <v>9</v>
          </cell>
          <cell r="AB18">
            <v>12</v>
          </cell>
          <cell r="AC18">
            <v>10</v>
          </cell>
          <cell r="AD18">
            <v>11</v>
          </cell>
          <cell r="AE18">
            <v>14</v>
          </cell>
          <cell r="AF18">
            <v>12</v>
          </cell>
          <cell r="AG18">
            <v>13</v>
          </cell>
          <cell r="AH18">
            <v>14</v>
          </cell>
          <cell r="AI18">
            <v>17</v>
          </cell>
          <cell r="AJ18">
            <v>16</v>
          </cell>
          <cell r="AK18">
            <v>20</v>
          </cell>
          <cell r="AL18">
            <v>19</v>
          </cell>
          <cell r="AM18">
            <v>17</v>
          </cell>
          <cell r="AN18">
            <v>20</v>
          </cell>
          <cell r="AO18">
            <v>20</v>
          </cell>
          <cell r="AP18">
            <v>21</v>
          </cell>
          <cell r="AQ18">
            <v>22</v>
          </cell>
          <cell r="AR18">
            <v>25</v>
          </cell>
          <cell r="AS18">
            <v>23</v>
          </cell>
          <cell r="AT18">
            <v>25</v>
          </cell>
          <cell r="AU18">
            <v>25</v>
          </cell>
          <cell r="AV18">
            <v>27</v>
          </cell>
          <cell r="AW18">
            <v>27</v>
          </cell>
          <cell r="AX18">
            <v>29</v>
          </cell>
          <cell r="AY18">
            <v>30</v>
          </cell>
          <cell r="AZ18">
            <v>28</v>
          </cell>
          <cell r="BA18">
            <v>31</v>
          </cell>
          <cell r="BB18">
            <v>33</v>
          </cell>
          <cell r="BC18">
            <v>32</v>
          </cell>
          <cell r="BD18">
            <v>33</v>
          </cell>
          <cell r="BE18">
            <v>32</v>
          </cell>
        </row>
        <row r="19"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  <cell r="Q19">
            <v>1</v>
          </cell>
          <cell r="R19">
            <v>2</v>
          </cell>
          <cell r="S19">
            <v>3</v>
          </cell>
          <cell r="T19">
            <v>3</v>
          </cell>
          <cell r="U19">
            <v>4</v>
          </cell>
          <cell r="V19">
            <v>6</v>
          </cell>
          <cell r="W19">
            <v>6</v>
          </cell>
          <cell r="X19">
            <v>5</v>
          </cell>
          <cell r="Y19">
            <v>6</v>
          </cell>
          <cell r="Z19">
            <v>9</v>
          </cell>
          <cell r="AA19">
            <v>11</v>
          </cell>
          <cell r="AB19">
            <v>9</v>
          </cell>
          <cell r="AC19">
            <v>11</v>
          </cell>
          <cell r="AD19">
            <v>13</v>
          </cell>
          <cell r="AE19">
            <v>13</v>
          </cell>
          <cell r="AF19">
            <v>14</v>
          </cell>
          <cell r="AG19">
            <v>14</v>
          </cell>
          <cell r="AH19">
            <v>15</v>
          </cell>
          <cell r="AI19">
            <v>17</v>
          </cell>
          <cell r="AJ19">
            <v>15</v>
          </cell>
          <cell r="AK19">
            <v>17</v>
          </cell>
          <cell r="AL19">
            <v>16</v>
          </cell>
          <cell r="AM19">
            <v>18</v>
          </cell>
          <cell r="AN19">
            <v>19</v>
          </cell>
          <cell r="AO19">
            <v>21</v>
          </cell>
          <cell r="AP19">
            <v>23</v>
          </cell>
          <cell r="AQ19">
            <v>22</v>
          </cell>
          <cell r="AR19">
            <v>25</v>
          </cell>
          <cell r="AS19">
            <v>25</v>
          </cell>
          <cell r="AT19">
            <v>24</v>
          </cell>
          <cell r="AU19">
            <v>24</v>
          </cell>
          <cell r="AV19">
            <v>25</v>
          </cell>
          <cell r="AW19">
            <v>27</v>
          </cell>
          <cell r="AX19">
            <v>27</v>
          </cell>
          <cell r="AY19">
            <v>28</v>
          </cell>
          <cell r="AZ19">
            <v>29</v>
          </cell>
          <cell r="BA19">
            <v>30</v>
          </cell>
          <cell r="BB19">
            <v>32</v>
          </cell>
          <cell r="BC19">
            <v>31</v>
          </cell>
          <cell r="BD19">
            <v>32</v>
          </cell>
          <cell r="BE19">
            <v>31</v>
          </cell>
        </row>
        <row r="20">
          <cell r="K20">
            <v>33</v>
          </cell>
          <cell r="L20">
            <v>31</v>
          </cell>
          <cell r="M20">
            <v>28</v>
          </cell>
          <cell r="N20">
            <v>29</v>
          </cell>
          <cell r="O20">
            <v>31</v>
          </cell>
          <cell r="P20">
            <v>35</v>
          </cell>
          <cell r="Q20">
            <v>37</v>
          </cell>
          <cell r="R20">
            <v>39</v>
          </cell>
          <cell r="S20">
            <v>40</v>
          </cell>
          <cell r="T20">
            <v>36</v>
          </cell>
          <cell r="U20">
            <v>34</v>
          </cell>
          <cell r="V20">
            <v>30</v>
          </cell>
          <cell r="W20">
            <v>27</v>
          </cell>
          <cell r="X20">
            <v>25</v>
          </cell>
          <cell r="Y20">
            <v>24</v>
          </cell>
          <cell r="Z20">
            <v>24</v>
          </cell>
          <cell r="AA20">
            <v>25</v>
          </cell>
          <cell r="AB20">
            <v>27</v>
          </cell>
          <cell r="AC20">
            <v>28</v>
          </cell>
          <cell r="AD20">
            <v>29</v>
          </cell>
          <cell r="AE20">
            <v>29</v>
          </cell>
          <cell r="AF20">
            <v>25</v>
          </cell>
          <cell r="AG20">
            <v>24</v>
          </cell>
          <cell r="AH20">
            <v>22</v>
          </cell>
          <cell r="AI20">
            <v>19</v>
          </cell>
          <cell r="AJ20">
            <v>17</v>
          </cell>
          <cell r="AK20">
            <v>15</v>
          </cell>
          <cell r="AL20">
            <v>18</v>
          </cell>
          <cell r="AM20">
            <v>18</v>
          </cell>
          <cell r="AN20">
            <v>18</v>
          </cell>
          <cell r="AO20">
            <v>20</v>
          </cell>
          <cell r="AP20">
            <v>19</v>
          </cell>
          <cell r="AQ20">
            <v>20</v>
          </cell>
          <cell r="AR20">
            <v>19</v>
          </cell>
          <cell r="AS20">
            <v>15</v>
          </cell>
          <cell r="AT20">
            <v>14</v>
          </cell>
          <cell r="AU20">
            <v>11</v>
          </cell>
          <cell r="AV20">
            <v>11</v>
          </cell>
          <cell r="AW20">
            <v>9</v>
          </cell>
          <cell r="AX20">
            <v>8</v>
          </cell>
          <cell r="AY20">
            <v>8</v>
          </cell>
          <cell r="AZ20">
            <v>11</v>
          </cell>
          <cell r="BA20">
            <v>9</v>
          </cell>
          <cell r="BB20">
            <v>8</v>
          </cell>
          <cell r="BC20">
            <v>8</v>
          </cell>
          <cell r="BD20">
            <v>7</v>
          </cell>
          <cell r="BE20">
            <v>5</v>
          </cell>
        </row>
        <row r="21">
          <cell r="K21">
            <v>30</v>
          </cell>
          <cell r="L21">
            <v>27</v>
          </cell>
          <cell r="M21">
            <v>25</v>
          </cell>
          <cell r="N21">
            <v>22</v>
          </cell>
          <cell r="O21">
            <v>19</v>
          </cell>
          <cell r="P21">
            <v>16</v>
          </cell>
          <cell r="Q21">
            <v>19</v>
          </cell>
          <cell r="R21">
            <v>21</v>
          </cell>
          <cell r="S21">
            <v>22</v>
          </cell>
          <cell r="T21">
            <v>25</v>
          </cell>
          <cell r="U21">
            <v>25</v>
          </cell>
          <cell r="V21">
            <v>25</v>
          </cell>
          <cell r="W21">
            <v>23</v>
          </cell>
          <cell r="X21">
            <v>22</v>
          </cell>
          <cell r="Y21">
            <v>19</v>
          </cell>
          <cell r="Z21">
            <v>16</v>
          </cell>
          <cell r="AA21">
            <v>14</v>
          </cell>
          <cell r="AB21">
            <v>14</v>
          </cell>
          <cell r="AC21">
            <v>14</v>
          </cell>
          <cell r="AD21">
            <v>15</v>
          </cell>
          <cell r="AE21">
            <v>18</v>
          </cell>
          <cell r="AF21">
            <v>17</v>
          </cell>
          <cell r="AG21">
            <v>18</v>
          </cell>
          <cell r="AH21">
            <v>18</v>
          </cell>
          <cell r="AI21">
            <v>17</v>
          </cell>
          <cell r="AJ21">
            <v>15</v>
          </cell>
          <cell r="AK21">
            <v>14</v>
          </cell>
          <cell r="AL21">
            <v>11</v>
          </cell>
          <cell r="AM21">
            <v>11</v>
          </cell>
          <cell r="AN21">
            <v>10</v>
          </cell>
          <cell r="AO21">
            <v>10</v>
          </cell>
          <cell r="AP21">
            <v>10</v>
          </cell>
          <cell r="AQ21">
            <v>12</v>
          </cell>
          <cell r="AR21">
            <v>11</v>
          </cell>
          <cell r="AS21">
            <v>13</v>
          </cell>
          <cell r="AT21">
            <v>11</v>
          </cell>
          <cell r="AU21">
            <v>12</v>
          </cell>
          <cell r="AV21">
            <v>10</v>
          </cell>
          <cell r="AW21">
            <v>8</v>
          </cell>
          <cell r="AX21">
            <v>6</v>
          </cell>
          <cell r="AY21">
            <v>5</v>
          </cell>
          <cell r="AZ21">
            <v>4</v>
          </cell>
          <cell r="BA21">
            <v>6</v>
          </cell>
          <cell r="BB21">
            <v>5</v>
          </cell>
          <cell r="BC21">
            <v>7</v>
          </cell>
          <cell r="BD21">
            <v>4</v>
          </cell>
          <cell r="BE21">
            <v>5</v>
          </cell>
        </row>
        <row r="22">
          <cell r="K22">
            <v>24</v>
          </cell>
          <cell r="L22">
            <v>25</v>
          </cell>
          <cell r="M22">
            <v>24</v>
          </cell>
          <cell r="N22">
            <v>24</v>
          </cell>
          <cell r="O22">
            <v>24</v>
          </cell>
          <cell r="P22">
            <v>23</v>
          </cell>
          <cell r="Q22">
            <v>20</v>
          </cell>
          <cell r="R22">
            <v>19</v>
          </cell>
          <cell r="S22">
            <v>19</v>
          </cell>
          <cell r="T22">
            <v>22</v>
          </cell>
          <cell r="U22">
            <v>20</v>
          </cell>
          <cell r="V22">
            <v>22</v>
          </cell>
          <cell r="W22">
            <v>22</v>
          </cell>
          <cell r="X22">
            <v>23</v>
          </cell>
          <cell r="Y22">
            <v>24</v>
          </cell>
          <cell r="Z22">
            <v>24</v>
          </cell>
          <cell r="AA22">
            <v>23</v>
          </cell>
          <cell r="AB22">
            <v>22</v>
          </cell>
          <cell r="AC22">
            <v>21</v>
          </cell>
          <cell r="AD22">
            <v>22</v>
          </cell>
          <cell r="AE22">
            <v>18</v>
          </cell>
          <cell r="AF22">
            <v>19</v>
          </cell>
          <cell r="AG22">
            <v>21</v>
          </cell>
          <cell r="AH22">
            <v>22</v>
          </cell>
          <cell r="AI22">
            <v>25</v>
          </cell>
          <cell r="AJ22">
            <v>24</v>
          </cell>
          <cell r="AK22">
            <v>25</v>
          </cell>
          <cell r="AL22">
            <v>25</v>
          </cell>
          <cell r="AM22">
            <v>24</v>
          </cell>
          <cell r="AN22">
            <v>21</v>
          </cell>
          <cell r="AO22">
            <v>18</v>
          </cell>
          <cell r="AP22">
            <v>19</v>
          </cell>
          <cell r="AQ22">
            <v>20</v>
          </cell>
          <cell r="AR22">
            <v>21</v>
          </cell>
          <cell r="AS22">
            <v>22</v>
          </cell>
          <cell r="AT22">
            <v>22</v>
          </cell>
          <cell r="AU22">
            <v>24</v>
          </cell>
          <cell r="AV22">
            <v>23</v>
          </cell>
          <cell r="AW22">
            <v>24</v>
          </cell>
          <cell r="AX22">
            <v>24</v>
          </cell>
          <cell r="AY22">
            <v>23</v>
          </cell>
          <cell r="AZ22">
            <v>22</v>
          </cell>
          <cell r="BA22">
            <v>22</v>
          </cell>
          <cell r="BB22">
            <v>20</v>
          </cell>
          <cell r="BC22">
            <v>20</v>
          </cell>
          <cell r="BD22">
            <v>19</v>
          </cell>
          <cell r="BE22">
            <v>21</v>
          </cell>
        </row>
        <row r="23">
          <cell r="K23">
            <v>16</v>
          </cell>
          <cell r="L23">
            <v>15</v>
          </cell>
          <cell r="M23">
            <v>18</v>
          </cell>
          <cell r="N23">
            <v>16</v>
          </cell>
          <cell r="O23">
            <v>15</v>
          </cell>
          <cell r="P23">
            <v>14</v>
          </cell>
          <cell r="Q23">
            <v>15</v>
          </cell>
          <cell r="R23">
            <v>13</v>
          </cell>
          <cell r="S23">
            <v>13</v>
          </cell>
          <cell r="T23">
            <v>14</v>
          </cell>
          <cell r="U23">
            <v>17</v>
          </cell>
          <cell r="V23">
            <v>15</v>
          </cell>
          <cell r="W23">
            <v>16</v>
          </cell>
          <cell r="X23">
            <v>17</v>
          </cell>
          <cell r="Y23">
            <v>15</v>
          </cell>
          <cell r="Z23">
            <v>17</v>
          </cell>
          <cell r="AA23">
            <v>18</v>
          </cell>
          <cell r="AB23">
            <v>15</v>
          </cell>
          <cell r="AC23">
            <v>14</v>
          </cell>
          <cell r="AD23">
            <v>14</v>
          </cell>
          <cell r="AE23">
            <v>12</v>
          </cell>
          <cell r="AF23">
            <v>14</v>
          </cell>
          <cell r="AG23">
            <v>15</v>
          </cell>
          <cell r="AH23">
            <v>14</v>
          </cell>
          <cell r="AI23">
            <v>18</v>
          </cell>
          <cell r="AJ23">
            <v>15</v>
          </cell>
          <cell r="AK23">
            <v>16</v>
          </cell>
          <cell r="AL23">
            <v>15</v>
          </cell>
          <cell r="AM23">
            <v>15</v>
          </cell>
          <cell r="AN23">
            <v>16</v>
          </cell>
          <cell r="AO23">
            <v>14</v>
          </cell>
          <cell r="AP23">
            <v>13</v>
          </cell>
          <cell r="AQ23">
            <v>14</v>
          </cell>
          <cell r="AR23">
            <v>12</v>
          </cell>
          <cell r="AS23">
            <v>16</v>
          </cell>
          <cell r="AT23">
            <v>15</v>
          </cell>
          <cell r="AU23">
            <v>17</v>
          </cell>
          <cell r="AV23">
            <v>16</v>
          </cell>
          <cell r="AW23">
            <v>15</v>
          </cell>
          <cell r="AX23">
            <v>15</v>
          </cell>
          <cell r="AY23">
            <v>14</v>
          </cell>
          <cell r="AZ23">
            <v>16</v>
          </cell>
          <cell r="BA23">
            <v>15</v>
          </cell>
          <cell r="BB23">
            <v>13</v>
          </cell>
          <cell r="BC23">
            <v>14</v>
          </cell>
          <cell r="BD23">
            <v>12</v>
          </cell>
          <cell r="BE23">
            <v>15</v>
          </cell>
        </row>
        <row r="24">
          <cell r="J24" t="str">
            <v>Total nectar</v>
          </cell>
          <cell r="K24">
            <v>195</v>
          </cell>
          <cell r="L24">
            <v>195</v>
          </cell>
          <cell r="M24">
            <v>189</v>
          </cell>
          <cell r="N24">
            <v>193</v>
          </cell>
          <cell r="O24">
            <v>200</v>
          </cell>
          <cell r="P24">
            <v>210</v>
          </cell>
          <cell r="Q24">
            <v>205</v>
          </cell>
          <cell r="R24">
            <v>205</v>
          </cell>
          <cell r="S24">
            <v>206</v>
          </cell>
          <cell r="T24">
            <v>196</v>
          </cell>
          <cell r="U24">
            <v>203</v>
          </cell>
          <cell r="V24">
            <v>201</v>
          </cell>
          <cell r="W24">
            <v>202</v>
          </cell>
          <cell r="X24">
            <v>196</v>
          </cell>
          <cell r="Y24">
            <v>220</v>
          </cell>
          <cell r="Z24">
            <v>212</v>
          </cell>
          <cell r="AA24">
            <v>212</v>
          </cell>
          <cell r="AB24">
            <v>212</v>
          </cell>
          <cell r="AC24">
            <v>220</v>
          </cell>
          <cell r="AD24">
            <v>217</v>
          </cell>
          <cell r="AE24">
            <v>215</v>
          </cell>
          <cell r="AF24">
            <v>210</v>
          </cell>
          <cell r="AG24">
            <v>208</v>
          </cell>
          <cell r="AH24">
            <v>207</v>
          </cell>
          <cell r="AI24">
            <v>211</v>
          </cell>
          <cell r="AJ24">
            <v>210</v>
          </cell>
          <cell r="AK24">
            <v>215</v>
          </cell>
          <cell r="AL24">
            <v>216</v>
          </cell>
          <cell r="AM24">
            <v>209</v>
          </cell>
          <cell r="AN24">
            <v>213</v>
          </cell>
          <cell r="AO24">
            <v>215</v>
          </cell>
          <cell r="AP24">
            <v>208</v>
          </cell>
          <cell r="AQ24">
            <v>216</v>
          </cell>
          <cell r="AR24">
            <v>213</v>
          </cell>
          <cell r="AS24">
            <v>218</v>
          </cell>
          <cell r="AT24">
            <v>214</v>
          </cell>
          <cell r="AU24">
            <v>222</v>
          </cell>
          <cell r="AV24">
            <v>232</v>
          </cell>
          <cell r="AW24">
            <v>228</v>
          </cell>
          <cell r="AX24">
            <v>231</v>
          </cell>
          <cell r="AY24">
            <v>237</v>
          </cell>
          <cell r="AZ24">
            <v>232</v>
          </cell>
          <cell r="BA24">
            <v>234</v>
          </cell>
          <cell r="BB24">
            <v>228</v>
          </cell>
          <cell r="BC24">
            <v>224</v>
          </cell>
          <cell r="BD24">
            <v>212</v>
          </cell>
          <cell r="BE24">
            <v>214</v>
          </cell>
          <cell r="BF24">
            <v>230</v>
          </cell>
        </row>
        <row r="25">
          <cell r="J25" t="str">
            <v>Total cordial</v>
          </cell>
          <cell r="K25">
            <v>130</v>
          </cell>
          <cell r="L25">
            <v>118</v>
          </cell>
          <cell r="M25">
            <v>131</v>
          </cell>
          <cell r="N25">
            <v>132</v>
          </cell>
          <cell r="O25">
            <v>122</v>
          </cell>
          <cell r="P25">
            <v>119</v>
          </cell>
          <cell r="Q25">
            <v>126</v>
          </cell>
          <cell r="R25">
            <v>126</v>
          </cell>
          <cell r="S25">
            <v>134</v>
          </cell>
          <cell r="T25">
            <v>131</v>
          </cell>
          <cell r="U25">
            <v>135</v>
          </cell>
          <cell r="V25">
            <v>135</v>
          </cell>
          <cell r="W25">
            <v>139</v>
          </cell>
          <cell r="X25">
            <v>144</v>
          </cell>
          <cell r="Y25">
            <v>145</v>
          </cell>
          <cell r="Z25">
            <v>146</v>
          </cell>
          <cell r="AA25">
            <v>150</v>
          </cell>
          <cell r="AB25">
            <v>138</v>
          </cell>
          <cell r="AC25">
            <v>143</v>
          </cell>
          <cell r="AD25">
            <v>146</v>
          </cell>
          <cell r="AE25">
            <v>148</v>
          </cell>
          <cell r="AF25">
            <v>146</v>
          </cell>
          <cell r="AG25">
            <v>151</v>
          </cell>
          <cell r="AH25">
            <v>152</v>
          </cell>
          <cell r="AI25">
            <v>163</v>
          </cell>
          <cell r="AJ25">
            <v>155</v>
          </cell>
          <cell r="AK25">
            <v>163</v>
          </cell>
          <cell r="AL25">
            <v>153</v>
          </cell>
          <cell r="AM25">
            <v>153</v>
          </cell>
          <cell r="AN25">
            <v>156</v>
          </cell>
          <cell r="AO25">
            <v>156</v>
          </cell>
          <cell r="AP25">
            <v>156</v>
          </cell>
          <cell r="AQ25">
            <v>153</v>
          </cell>
          <cell r="AR25">
            <v>163</v>
          </cell>
          <cell r="AS25">
            <v>164</v>
          </cell>
          <cell r="AT25">
            <v>159</v>
          </cell>
          <cell r="AU25">
            <v>169</v>
          </cell>
          <cell r="AV25">
            <v>169</v>
          </cell>
          <cell r="AW25">
            <v>174</v>
          </cell>
          <cell r="AX25">
            <v>177</v>
          </cell>
          <cell r="AY25">
            <v>183</v>
          </cell>
          <cell r="AZ25">
            <v>182</v>
          </cell>
          <cell r="BA25">
            <v>185</v>
          </cell>
          <cell r="BB25">
            <v>176</v>
          </cell>
          <cell r="BC25">
            <v>177</v>
          </cell>
          <cell r="BD25">
            <v>179</v>
          </cell>
          <cell r="BE25">
            <v>171</v>
          </cell>
          <cell r="BF25">
            <v>173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4" Type="http://schemas.openxmlformats.org/officeDocument/2006/relationships/ctrlProp" Target="../ctrlProps/ctrlProp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Relationship Id="rId4" Type="http://schemas.openxmlformats.org/officeDocument/2006/relationships/ctrlProp" Target="../ctrlProps/ctrlProp2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Relationship Id="rId6" Type="http://schemas.openxmlformats.org/officeDocument/2006/relationships/ctrlProp" Target="../ctrlProps/ctrlProp5.xml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217A7-44C9-4081-93D0-96B0BB92D5C8}">
  <dimension ref="A1:IV13"/>
  <sheetViews>
    <sheetView topLeftCell="C1" workbookViewId="0">
      <selection activeCell="A95" sqref="A95"/>
    </sheetView>
  </sheetViews>
  <sheetFormatPr baseColWidth="10" defaultColWidth="11" defaultRowHeight="13.2" x14ac:dyDescent="0.25"/>
  <cols>
    <col min="1" max="1" width="23.5546875" style="1" bestFit="1" customWidth="1"/>
    <col min="2" max="2" width="26.33203125" style="1" customWidth="1"/>
    <col min="3" max="4" width="26.44140625" style="1" customWidth="1"/>
    <col min="5" max="16384" width="11" style="1"/>
  </cols>
  <sheetData>
    <row r="1" spans="1:256" x14ac:dyDescent="0.25">
      <c r="A1" s="1" t="s">
        <v>0</v>
      </c>
      <c r="B1" s="1" t="s">
        <v>1</v>
      </c>
      <c r="Q1" s="2" t="s">
        <v>2</v>
      </c>
    </row>
    <row r="2" spans="1:256" x14ac:dyDescent="0.25">
      <c r="Q2" s="2" t="s">
        <v>2</v>
      </c>
    </row>
    <row r="3" spans="1:256" x14ac:dyDescent="0.25">
      <c r="A3" s="3" t="s">
        <v>3</v>
      </c>
      <c r="B3" s="3" t="s">
        <v>4</v>
      </c>
      <c r="C3" s="3" t="s">
        <v>5</v>
      </c>
      <c r="D3" s="3" t="s">
        <v>5</v>
      </c>
      <c r="Q3" s="2" t="s">
        <v>2</v>
      </c>
    </row>
    <row r="4" spans="1:256" x14ac:dyDescent="0.25">
      <c r="A4" s="3" t="s">
        <v>6</v>
      </c>
      <c r="B4" s="3">
        <v>1</v>
      </c>
      <c r="C4" s="3">
        <v>-1</v>
      </c>
      <c r="D4" s="3">
        <v>-0.20399999999999999</v>
      </c>
      <c r="Q4" s="2" t="s">
        <v>2</v>
      </c>
    </row>
    <row r="5" spans="1:256" x14ac:dyDescent="0.25">
      <c r="A5" s="3" t="s">
        <v>7</v>
      </c>
      <c r="B5" s="3">
        <v>0</v>
      </c>
      <c r="C5" s="3">
        <v>0</v>
      </c>
      <c r="D5" s="3">
        <v>1</v>
      </c>
      <c r="Q5" s="2" t="s">
        <v>2</v>
      </c>
    </row>
    <row r="6" spans="1:256" x14ac:dyDescent="0.25">
      <c r="A6" s="3" t="s">
        <v>8</v>
      </c>
      <c r="B6" s="3">
        <v>0</v>
      </c>
      <c r="C6" s="3">
        <v>0</v>
      </c>
      <c r="D6" s="3">
        <v>4</v>
      </c>
      <c r="Q6" s="2" t="s">
        <v>2</v>
      </c>
    </row>
    <row r="7" spans="1:256" x14ac:dyDescent="0.25">
      <c r="A7" s="3" t="s">
        <v>9</v>
      </c>
      <c r="B7" s="1" t="s">
        <v>1</v>
      </c>
      <c r="C7" s="1" t="s">
        <v>1</v>
      </c>
      <c r="D7" s="1" t="s">
        <v>1</v>
      </c>
      <c r="Q7" s="2" t="s">
        <v>2</v>
      </c>
    </row>
    <row r="8" spans="1:256" x14ac:dyDescent="0.25">
      <c r="Q8" s="2" t="s">
        <v>2</v>
      </c>
    </row>
    <row r="9" spans="1:256" x14ac:dyDescent="0.25">
      <c r="A9" s="3" t="s">
        <v>10</v>
      </c>
      <c r="B9" s="3" t="s">
        <v>11</v>
      </c>
      <c r="C9" s="3" t="s">
        <v>12</v>
      </c>
      <c r="D9" s="4">
        <v>0</v>
      </c>
      <c r="E9" s="4">
        <v>1</v>
      </c>
      <c r="F9" s="4">
        <v>2</v>
      </c>
      <c r="G9" s="4">
        <v>3</v>
      </c>
      <c r="H9" s="4">
        <v>4</v>
      </c>
      <c r="I9" s="4">
        <v>5</v>
      </c>
      <c r="J9" s="4">
        <v>6</v>
      </c>
      <c r="K9" s="4">
        <v>7</v>
      </c>
      <c r="L9" s="4">
        <v>8</v>
      </c>
      <c r="M9" s="4">
        <v>9</v>
      </c>
      <c r="N9" s="4">
        <v>10</v>
      </c>
      <c r="O9" s="4">
        <v>11</v>
      </c>
      <c r="P9" s="4">
        <v>12</v>
      </c>
      <c r="Q9" s="2" t="s">
        <v>2</v>
      </c>
    </row>
    <row r="10" spans="1:256" s="8" customFormat="1" x14ac:dyDescent="0.25">
      <c r="A10" s="5" t="s">
        <v>5</v>
      </c>
      <c r="B10" s="6">
        <v>-1000000000000</v>
      </c>
      <c r="C10" s="6">
        <f>-B10</f>
        <v>1000000000000</v>
      </c>
      <c r="D10" s="6">
        <v>0</v>
      </c>
      <c r="E10" s="5">
        <v>11454.5</v>
      </c>
      <c r="F10" s="5">
        <v>-55172</v>
      </c>
      <c r="G10" s="5">
        <v>-80030.5</v>
      </c>
      <c r="H10" s="5">
        <v>-102245</v>
      </c>
      <c r="I10" s="5">
        <v>-108005</v>
      </c>
      <c r="J10" s="5">
        <v>-108005</v>
      </c>
      <c r="K10" s="5">
        <v>-108005</v>
      </c>
      <c r="L10" s="5">
        <v>-108005</v>
      </c>
      <c r="M10" s="5">
        <v>-108005</v>
      </c>
      <c r="N10" s="5">
        <v>-108005</v>
      </c>
      <c r="O10" s="5">
        <v>-108005</v>
      </c>
      <c r="P10" s="5">
        <v>-108005</v>
      </c>
      <c r="Q10" s="7" t="s">
        <v>2</v>
      </c>
    </row>
    <row r="11" spans="1:256" s="12" customFormat="1" x14ac:dyDescent="0.25">
      <c r="A11" s="9" t="s">
        <v>13</v>
      </c>
      <c r="B11" s="9">
        <f>B10</f>
        <v>-1000000000000</v>
      </c>
      <c r="C11" s="9">
        <f>-B11</f>
        <v>1000000000000</v>
      </c>
      <c r="D11" s="10">
        <v>0</v>
      </c>
      <c r="E11" s="9">
        <v>340808.32</v>
      </c>
      <c r="F11" s="9">
        <v>722862.9600000002</v>
      </c>
      <c r="G11" s="9">
        <v>1097077.44</v>
      </c>
      <c r="H11" s="9"/>
      <c r="I11" s="9"/>
      <c r="J11" s="9"/>
      <c r="K11" s="9"/>
      <c r="L11" s="9"/>
      <c r="M11" s="9"/>
      <c r="N11" s="9"/>
      <c r="O11" s="9"/>
      <c r="P11" s="9"/>
      <c r="Q11" s="11" t="s">
        <v>2</v>
      </c>
    </row>
    <row r="12" spans="1:256" x14ac:dyDescent="0.25">
      <c r="C12" s="13"/>
      <c r="Q12" s="2" t="s">
        <v>2</v>
      </c>
    </row>
    <row r="13" spans="1:256" s="2" customFormat="1" x14ac:dyDescent="0.25">
      <c r="A13" s="2" t="s">
        <v>2</v>
      </c>
      <c r="B13" s="2" t="s">
        <v>2</v>
      </c>
      <c r="C13" s="2" t="s">
        <v>2</v>
      </c>
      <c r="D13" s="2" t="s">
        <v>2</v>
      </c>
      <c r="E13" s="2" t="s">
        <v>2</v>
      </c>
      <c r="F13" s="2" t="s">
        <v>2</v>
      </c>
      <c r="G13" s="2" t="s">
        <v>2</v>
      </c>
      <c r="H13" s="2" t="s">
        <v>2</v>
      </c>
      <c r="I13" s="2" t="s">
        <v>2</v>
      </c>
      <c r="J13" s="2" t="s">
        <v>2</v>
      </c>
      <c r="K13" s="2" t="s">
        <v>2</v>
      </c>
      <c r="L13" s="2" t="s">
        <v>2</v>
      </c>
      <c r="M13" s="2" t="s">
        <v>2</v>
      </c>
      <c r="N13" s="2" t="s">
        <v>2</v>
      </c>
      <c r="O13" s="2" t="s">
        <v>2</v>
      </c>
      <c r="P13" s="2" t="s">
        <v>2</v>
      </c>
      <c r="Q13" s="2" t="s">
        <v>2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B8DC1-3E5B-4B43-AB52-4278BA572594}">
  <dimension ref="A1:IV49"/>
  <sheetViews>
    <sheetView topLeftCell="A21" workbookViewId="0">
      <pane xSplit="1" topLeftCell="B1" activePane="topRight" state="frozenSplit"/>
      <selection activeCell="A95" sqref="A95"/>
      <selection pane="topRight"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9" width="10.109375" style="1" customWidth="1"/>
    <col min="10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22" x14ac:dyDescent="0.25">
      <c r="A1" s="1" t="s">
        <v>0</v>
      </c>
      <c r="B1" s="1" t="s">
        <v>14</v>
      </c>
      <c r="E1" s="1" t="s">
        <v>15</v>
      </c>
      <c r="F1" s="1">
        <v>1</v>
      </c>
      <c r="Q1" s="2"/>
      <c r="R1" s="2"/>
      <c r="S1" s="2" t="s">
        <v>2</v>
      </c>
    </row>
    <row r="2" spans="1:22" x14ac:dyDescent="0.25">
      <c r="Q2" s="2"/>
      <c r="R2" s="2"/>
      <c r="S2" s="2" t="s">
        <v>2</v>
      </c>
    </row>
    <row r="3" spans="1:22" ht="66" x14ac:dyDescent="0.25">
      <c r="A3" s="3" t="s">
        <v>3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19</v>
      </c>
      <c r="G3" s="3" t="s">
        <v>20</v>
      </c>
      <c r="H3" s="3" t="s">
        <v>20</v>
      </c>
      <c r="I3" s="3" t="s">
        <v>21</v>
      </c>
      <c r="J3" s="3" t="s">
        <v>21</v>
      </c>
      <c r="K3" s="3" t="s">
        <v>22</v>
      </c>
      <c r="L3" s="3" t="s">
        <v>23</v>
      </c>
      <c r="M3" s="3" t="s">
        <v>24</v>
      </c>
      <c r="N3" s="3" t="s">
        <v>5</v>
      </c>
      <c r="O3" s="3" t="s">
        <v>5</v>
      </c>
      <c r="P3" s="3" t="s">
        <v>5</v>
      </c>
      <c r="Q3" s="3" t="s">
        <v>13</v>
      </c>
      <c r="S3" s="2" t="s">
        <v>2</v>
      </c>
    </row>
    <row r="4" spans="1:22" x14ac:dyDescent="0.25">
      <c r="A4" s="3" t="s">
        <v>25</v>
      </c>
      <c r="B4" s="3">
        <v>30</v>
      </c>
      <c r="C4" s="3">
        <v>-1</v>
      </c>
      <c r="D4" s="3">
        <v>-1</v>
      </c>
      <c r="E4" s="3">
        <v>-20</v>
      </c>
      <c r="F4" s="3">
        <f>-E4</f>
        <v>20</v>
      </c>
      <c r="G4" s="3">
        <v>100</v>
      </c>
      <c r="H4" s="3">
        <f>-G4</f>
        <v>-100</v>
      </c>
      <c r="I4" s="3">
        <v>500</v>
      </c>
      <c r="J4" s="3">
        <f>-I4</f>
        <v>-500</v>
      </c>
      <c r="K4" s="3">
        <f>18000*0.02</f>
        <v>360</v>
      </c>
      <c r="L4" s="3">
        <v>-330</v>
      </c>
      <c r="M4" s="3">
        <f>1000*0.02*D4</f>
        <v>-20</v>
      </c>
      <c r="N4" s="3">
        <f>-G4</f>
        <v>-100</v>
      </c>
      <c r="O4" s="3">
        <f>-K4</f>
        <v>-360</v>
      </c>
      <c r="P4" s="3">
        <f>-(L4+M4)</f>
        <v>350</v>
      </c>
      <c r="Q4" s="3">
        <f>I4</f>
        <v>500</v>
      </c>
      <c r="S4" s="2" t="s">
        <v>2</v>
      </c>
    </row>
    <row r="5" spans="1:22" x14ac:dyDescent="0.25">
      <c r="A5" s="3" t="s">
        <v>7</v>
      </c>
      <c r="B5" s="3">
        <v>0</v>
      </c>
      <c r="C5" s="3">
        <v>0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1</v>
      </c>
      <c r="K5" s="3">
        <v>1</v>
      </c>
      <c r="L5" s="3">
        <v>0</v>
      </c>
      <c r="M5" s="3">
        <v>0</v>
      </c>
      <c r="N5" s="3">
        <v>0</v>
      </c>
      <c r="O5" s="3">
        <v>1</v>
      </c>
      <c r="P5" s="3">
        <v>0</v>
      </c>
      <c r="Q5" s="3">
        <v>0</v>
      </c>
      <c r="S5" s="2" t="s">
        <v>2</v>
      </c>
    </row>
    <row r="6" spans="1:22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20</v>
      </c>
      <c r="P6" s="3">
        <v>20</v>
      </c>
      <c r="Q6" s="3">
        <v>0</v>
      </c>
      <c r="S6" s="2" t="s">
        <v>2</v>
      </c>
    </row>
    <row r="7" spans="1:22" s="2" customFormat="1" x14ac:dyDescent="0.25">
      <c r="A7" s="14" t="s">
        <v>9</v>
      </c>
      <c r="B7" s="14" t="s">
        <v>14</v>
      </c>
      <c r="C7" s="14" t="s">
        <v>14</v>
      </c>
      <c r="D7" s="14" t="s">
        <v>14</v>
      </c>
      <c r="E7" s="14" t="s">
        <v>14</v>
      </c>
      <c r="F7" s="14" t="s">
        <v>14</v>
      </c>
      <c r="G7" s="14" t="s">
        <v>14</v>
      </c>
      <c r="H7" s="14" t="s">
        <v>14</v>
      </c>
      <c r="I7" s="14" t="s">
        <v>14</v>
      </c>
      <c r="J7" s="14" t="s">
        <v>14</v>
      </c>
      <c r="K7" s="14" t="s">
        <v>14</v>
      </c>
      <c r="L7" s="14" t="s">
        <v>14</v>
      </c>
      <c r="M7" s="14" t="s">
        <v>14</v>
      </c>
      <c r="N7" s="14" t="s">
        <v>1</v>
      </c>
      <c r="O7" s="14" t="s">
        <v>1</v>
      </c>
      <c r="P7" s="14" t="s">
        <v>1</v>
      </c>
      <c r="Q7" s="14" t="s">
        <v>1</v>
      </c>
      <c r="S7" s="2" t="s">
        <v>2</v>
      </c>
      <c r="V7" s="1"/>
    </row>
    <row r="8" spans="1:22" x14ac:dyDescent="0.25">
      <c r="S8" s="2" t="s">
        <v>2</v>
      </c>
    </row>
    <row r="9" spans="1:22" ht="66" x14ac:dyDescent="0.25">
      <c r="A9" s="3" t="s">
        <v>3</v>
      </c>
      <c r="B9" s="3" t="s">
        <v>17</v>
      </c>
      <c r="C9" s="3" t="s">
        <v>26</v>
      </c>
      <c r="D9" s="3" t="s">
        <v>27</v>
      </c>
      <c r="E9" s="3" t="s">
        <v>19</v>
      </c>
      <c r="F9" s="3" t="s">
        <v>19</v>
      </c>
      <c r="G9" s="3" t="s">
        <v>20</v>
      </c>
      <c r="H9" s="3" t="s">
        <v>20</v>
      </c>
      <c r="I9" s="3" t="s">
        <v>21</v>
      </c>
      <c r="J9" s="3" t="s">
        <v>21</v>
      </c>
      <c r="K9" s="3" t="s">
        <v>23</v>
      </c>
      <c r="L9" s="3" t="s">
        <v>28</v>
      </c>
      <c r="M9" s="3" t="s">
        <v>29</v>
      </c>
      <c r="N9" s="3" t="s">
        <v>5</v>
      </c>
      <c r="O9" s="3" t="s">
        <v>5</v>
      </c>
      <c r="P9" s="3" t="s">
        <v>5</v>
      </c>
      <c r="Q9" s="3" t="s">
        <v>13</v>
      </c>
      <c r="S9" s="2" t="s">
        <v>2</v>
      </c>
    </row>
    <row r="10" spans="1:22" x14ac:dyDescent="0.25">
      <c r="A10" s="3" t="s">
        <v>30</v>
      </c>
      <c r="B10" s="3">
        <v>1</v>
      </c>
      <c r="C10" s="15">
        <v>-1</v>
      </c>
      <c r="D10" s="3">
        <v>-5</v>
      </c>
      <c r="E10" s="3">
        <v>-100</v>
      </c>
      <c r="F10" s="3">
        <f>-E10</f>
        <v>100</v>
      </c>
      <c r="G10" s="3">
        <v>300</v>
      </c>
      <c r="H10" s="3">
        <f>-G10</f>
        <v>-300</v>
      </c>
      <c r="I10" s="3">
        <v>2000</v>
      </c>
      <c r="J10" s="3">
        <f>-I10</f>
        <v>-2000</v>
      </c>
      <c r="K10" s="3">
        <v>330</v>
      </c>
      <c r="L10" s="3">
        <f>64*C10</f>
        <v>-64</v>
      </c>
      <c r="M10" s="3">
        <f>2200*0.02*D10</f>
        <v>-220</v>
      </c>
      <c r="N10" s="3">
        <f>-G10</f>
        <v>-300</v>
      </c>
      <c r="O10" s="3">
        <f>-K10</f>
        <v>-330</v>
      </c>
      <c r="P10" s="3">
        <f>-(L10+M10)</f>
        <v>284</v>
      </c>
      <c r="Q10" s="3">
        <f>I10</f>
        <v>2000</v>
      </c>
      <c r="S10" s="2" t="s">
        <v>2</v>
      </c>
    </row>
    <row r="11" spans="1:22" x14ac:dyDescent="0.25">
      <c r="A11" s="3" t="s">
        <v>7</v>
      </c>
      <c r="B11" s="3">
        <v>0</v>
      </c>
      <c r="C11" s="3">
        <v>0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1</v>
      </c>
      <c r="K11" s="3">
        <v>1</v>
      </c>
      <c r="L11" s="3">
        <v>0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S11" s="2" t="s">
        <v>2</v>
      </c>
    </row>
    <row r="12" spans="1:22" x14ac:dyDescent="0.25">
      <c r="A12" s="3" t="s">
        <v>8</v>
      </c>
      <c r="B12" s="3">
        <v>0</v>
      </c>
      <c r="C12" s="15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20</v>
      </c>
      <c r="P12" s="3">
        <v>20</v>
      </c>
      <c r="Q12" s="3">
        <v>0</v>
      </c>
      <c r="S12" s="2" t="s">
        <v>2</v>
      </c>
    </row>
    <row r="13" spans="1:22" s="2" customFormat="1" x14ac:dyDescent="0.25">
      <c r="A13" s="14" t="s">
        <v>9</v>
      </c>
      <c r="B13" s="14" t="s">
        <v>14</v>
      </c>
      <c r="C13" s="14" t="s">
        <v>14</v>
      </c>
      <c r="D13" s="14" t="s">
        <v>14</v>
      </c>
      <c r="E13" s="14" t="s">
        <v>14</v>
      </c>
      <c r="F13" s="14" t="s">
        <v>14</v>
      </c>
      <c r="G13" s="14" t="s">
        <v>14</v>
      </c>
      <c r="H13" s="14" t="s">
        <v>14</v>
      </c>
      <c r="I13" s="14" t="s">
        <v>14</v>
      </c>
      <c r="J13" s="14" t="s">
        <v>14</v>
      </c>
      <c r="K13" s="14" t="s">
        <v>14</v>
      </c>
      <c r="L13" s="14" t="s">
        <v>14</v>
      </c>
      <c r="M13" s="14" t="s">
        <v>14</v>
      </c>
      <c r="N13" s="14" t="s">
        <v>1</v>
      </c>
      <c r="O13" s="14" t="s">
        <v>1</v>
      </c>
      <c r="P13" s="14" t="s">
        <v>1</v>
      </c>
      <c r="Q13" s="14" t="s">
        <v>1</v>
      </c>
      <c r="S13" s="2" t="s">
        <v>2</v>
      </c>
      <c r="V13" s="1"/>
    </row>
    <row r="14" spans="1:22" x14ac:dyDescent="0.25">
      <c r="Q14" s="2"/>
      <c r="R14" s="2"/>
      <c r="S14" s="2" t="s">
        <v>2</v>
      </c>
    </row>
    <row r="15" spans="1:22" ht="26.4" x14ac:dyDescent="0.25">
      <c r="A15" s="3" t="s">
        <v>3</v>
      </c>
      <c r="B15" s="3" t="s">
        <v>31</v>
      </c>
      <c r="C15" s="3" t="s">
        <v>19</v>
      </c>
      <c r="D15" s="3" t="s">
        <v>32</v>
      </c>
      <c r="E15" s="3" t="s">
        <v>32</v>
      </c>
      <c r="F15" s="3" t="s">
        <v>33</v>
      </c>
      <c r="G15" s="3" t="s">
        <v>5</v>
      </c>
      <c r="H15" s="3" t="s">
        <v>5</v>
      </c>
      <c r="Q15" s="2"/>
      <c r="R15" s="2"/>
      <c r="S15" s="2" t="s">
        <v>2</v>
      </c>
    </row>
    <row r="16" spans="1:22" x14ac:dyDescent="0.25">
      <c r="A16" s="3" t="s">
        <v>34</v>
      </c>
      <c r="B16" s="3">
        <v>1</v>
      </c>
      <c r="C16" s="3">
        <v>150</v>
      </c>
      <c r="D16" s="3">
        <v>2000</v>
      </c>
      <c r="E16" s="3">
        <f>-D16</f>
        <v>-2000</v>
      </c>
      <c r="F16" s="3">
        <v>3000</v>
      </c>
      <c r="G16" s="3">
        <f>-D16</f>
        <v>-2000</v>
      </c>
      <c r="H16" s="3">
        <f>-F16</f>
        <v>-3000</v>
      </c>
      <c r="Q16" s="2"/>
      <c r="R16" s="2"/>
      <c r="S16" s="2" t="s">
        <v>2</v>
      </c>
    </row>
    <row r="17" spans="1:50" x14ac:dyDescent="0.25">
      <c r="A17" s="3" t="s">
        <v>7</v>
      </c>
      <c r="B17" s="3">
        <v>0</v>
      </c>
      <c r="C17" s="3">
        <v>1</v>
      </c>
      <c r="D17" s="3">
        <v>0</v>
      </c>
      <c r="E17" s="3">
        <v>1</v>
      </c>
      <c r="F17" s="3">
        <v>1</v>
      </c>
      <c r="G17" s="3">
        <v>0</v>
      </c>
      <c r="H17" s="3">
        <v>1</v>
      </c>
      <c r="Q17" s="2"/>
      <c r="R17" s="2"/>
      <c r="S17" s="2" t="s">
        <v>2</v>
      </c>
    </row>
    <row r="18" spans="1:50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20</v>
      </c>
      <c r="Q18" s="2"/>
      <c r="R18" s="2"/>
      <c r="S18" s="2" t="s">
        <v>2</v>
      </c>
    </row>
    <row r="19" spans="1:50" s="2" customFormat="1" x14ac:dyDescent="0.25">
      <c r="A19" s="14" t="s">
        <v>9</v>
      </c>
      <c r="B19" s="14" t="s">
        <v>14</v>
      </c>
      <c r="C19" s="14" t="s">
        <v>14</v>
      </c>
      <c r="D19" s="14" t="s">
        <v>14</v>
      </c>
      <c r="E19" s="14" t="s">
        <v>14</v>
      </c>
      <c r="F19" s="14" t="s">
        <v>14</v>
      </c>
      <c r="G19" s="14" t="s">
        <v>1</v>
      </c>
      <c r="H19" s="14" t="s">
        <v>1</v>
      </c>
      <c r="S19" s="2" t="s">
        <v>2</v>
      </c>
    </row>
    <row r="20" spans="1:50" x14ac:dyDescent="0.25">
      <c r="Q20" s="2"/>
      <c r="R20" s="2"/>
      <c r="S20" s="2" t="s">
        <v>2</v>
      </c>
    </row>
    <row r="21" spans="1:50" ht="26.4" x14ac:dyDescent="0.25">
      <c r="A21" s="3" t="s">
        <v>3</v>
      </c>
      <c r="B21" s="3" t="s">
        <v>31</v>
      </c>
      <c r="C21" s="3" t="s">
        <v>19</v>
      </c>
      <c r="D21" s="3" t="s">
        <v>35</v>
      </c>
      <c r="E21" s="3" t="s">
        <v>35</v>
      </c>
      <c r="F21" s="3" t="s">
        <v>33</v>
      </c>
      <c r="G21" s="3" t="s">
        <v>5</v>
      </c>
      <c r="H21" s="3" t="s">
        <v>5</v>
      </c>
      <c r="Q21" s="2"/>
      <c r="R21" s="2"/>
      <c r="S21" s="2" t="s">
        <v>2</v>
      </c>
    </row>
    <row r="22" spans="1:50" x14ac:dyDescent="0.25">
      <c r="A22" s="3" t="s">
        <v>36</v>
      </c>
      <c r="B22" s="3">
        <v>-1</v>
      </c>
      <c r="C22" s="3">
        <v>-150</v>
      </c>
      <c r="D22" s="3">
        <v>2000</v>
      </c>
      <c r="E22" s="3">
        <f>-D22</f>
        <v>-2000</v>
      </c>
      <c r="F22" s="3">
        <v>-3000</v>
      </c>
      <c r="G22" s="3">
        <f>-D22</f>
        <v>-2000</v>
      </c>
      <c r="H22" s="3">
        <f>-F22</f>
        <v>3000</v>
      </c>
      <c r="Q22" s="2"/>
      <c r="R22" s="2"/>
      <c r="S22" s="2" t="s">
        <v>2</v>
      </c>
    </row>
    <row r="23" spans="1:50" x14ac:dyDescent="0.25">
      <c r="A23" s="3" t="s">
        <v>7</v>
      </c>
      <c r="B23" s="3">
        <v>0</v>
      </c>
      <c r="C23" s="3">
        <v>1</v>
      </c>
      <c r="D23" s="3">
        <v>0</v>
      </c>
      <c r="E23" s="3">
        <v>1</v>
      </c>
      <c r="F23" s="3">
        <v>1</v>
      </c>
      <c r="G23" s="3">
        <v>0</v>
      </c>
      <c r="H23" s="3">
        <v>1</v>
      </c>
      <c r="Q23" s="2"/>
      <c r="R23" s="2"/>
      <c r="S23" s="2" t="s">
        <v>2</v>
      </c>
    </row>
    <row r="24" spans="1:50" x14ac:dyDescent="0.25">
      <c r="A24" s="3" t="s">
        <v>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20</v>
      </c>
      <c r="Q24" s="2"/>
      <c r="R24" s="2"/>
      <c r="S24" s="2" t="s">
        <v>2</v>
      </c>
    </row>
    <row r="25" spans="1:50" s="2" customFormat="1" x14ac:dyDescent="0.25">
      <c r="A25" s="14" t="s">
        <v>9</v>
      </c>
      <c r="B25" s="14" t="s">
        <v>14</v>
      </c>
      <c r="C25" s="14" t="s">
        <v>14</v>
      </c>
      <c r="D25" s="14" t="s">
        <v>14</v>
      </c>
      <c r="E25" s="14" t="s">
        <v>14</v>
      </c>
      <c r="F25" s="14" t="s">
        <v>14</v>
      </c>
      <c r="G25" s="14" t="s">
        <v>1</v>
      </c>
      <c r="H25" s="14" t="s">
        <v>1</v>
      </c>
      <c r="S25" s="2" t="s">
        <v>2</v>
      </c>
    </row>
    <row r="26" spans="1:50" x14ac:dyDescent="0.25">
      <c r="Q26" s="2"/>
      <c r="R26" s="2"/>
      <c r="S26" s="2" t="s">
        <v>2</v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</row>
    <row r="27" spans="1:50" x14ac:dyDescent="0.25">
      <c r="A27" s="3" t="s">
        <v>10</v>
      </c>
      <c r="B27" s="3" t="s">
        <v>11</v>
      </c>
      <c r="C27" s="3" t="s">
        <v>12</v>
      </c>
      <c r="D27" s="4">
        <v>0</v>
      </c>
      <c r="E27" s="4">
        <v>1</v>
      </c>
      <c r="F27" s="4">
        <v>2</v>
      </c>
      <c r="G27" s="4">
        <v>3</v>
      </c>
      <c r="H27" s="4">
        <v>4</v>
      </c>
      <c r="I27" s="4">
        <v>5</v>
      </c>
      <c r="J27" s="4">
        <v>6</v>
      </c>
      <c r="K27" s="4">
        <v>7</v>
      </c>
      <c r="L27" s="4">
        <v>8</v>
      </c>
      <c r="M27" s="4">
        <v>9</v>
      </c>
      <c r="N27" s="4">
        <v>10</v>
      </c>
      <c r="O27" s="4">
        <v>11</v>
      </c>
      <c r="P27" s="4">
        <v>12</v>
      </c>
      <c r="Q27" s="2"/>
      <c r="R27" s="2"/>
      <c r="S27" s="2" t="s">
        <v>2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</row>
    <row r="28" spans="1:50" x14ac:dyDescent="0.25">
      <c r="A28" s="3" t="s">
        <v>16</v>
      </c>
      <c r="B28" s="3">
        <v>0</v>
      </c>
      <c r="C28" s="3">
        <v>750</v>
      </c>
      <c r="D28" s="3">
        <v>300</v>
      </c>
      <c r="E28" s="3">
        <v>472</v>
      </c>
      <c r="F28" s="3">
        <v>282</v>
      </c>
      <c r="G28" s="3">
        <v>246</v>
      </c>
      <c r="H28" s="3"/>
      <c r="I28" s="3"/>
      <c r="J28" s="3"/>
      <c r="K28" s="3"/>
      <c r="L28" s="3"/>
      <c r="M28" s="3"/>
      <c r="N28" s="3"/>
      <c r="O28" s="3"/>
      <c r="P28" s="3"/>
      <c r="Q28" s="2"/>
      <c r="R28" s="2"/>
      <c r="S28" s="2" t="s">
        <v>2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</row>
    <row r="29" spans="1:50" x14ac:dyDescent="0.25">
      <c r="A29" s="3" t="s">
        <v>17</v>
      </c>
      <c r="B29" s="3">
        <v>0</v>
      </c>
      <c r="C29" s="3">
        <v>160</v>
      </c>
      <c r="D29" s="3">
        <v>10</v>
      </c>
      <c r="E29" s="3">
        <v>7</v>
      </c>
      <c r="F29" s="3">
        <v>7</v>
      </c>
      <c r="G29" s="3">
        <v>7</v>
      </c>
      <c r="H29" s="3"/>
      <c r="I29" s="3"/>
      <c r="J29" s="3"/>
      <c r="K29" s="3"/>
      <c r="L29" s="3"/>
      <c r="M29" s="3"/>
      <c r="N29" s="3"/>
      <c r="O29" s="3"/>
      <c r="P29" s="3"/>
      <c r="Q29" s="2"/>
      <c r="R29" s="2"/>
      <c r="S29" s="2" t="s">
        <v>2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</row>
    <row r="30" spans="1:50" x14ac:dyDescent="0.25">
      <c r="A30" s="3" t="s">
        <v>37</v>
      </c>
      <c r="B30" s="3">
        <v>0</v>
      </c>
      <c r="C30" s="3">
        <v>750</v>
      </c>
      <c r="D30" s="3"/>
      <c r="E30" s="3">
        <v>0</v>
      </c>
      <c r="F30" s="3">
        <v>0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2"/>
      <c r="R30" s="2"/>
      <c r="S30" s="2" t="s">
        <v>2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</row>
    <row r="31" spans="1:50" x14ac:dyDescent="0.25">
      <c r="A31" s="3" t="s">
        <v>26</v>
      </c>
      <c r="B31" s="3">
        <v>0</v>
      </c>
      <c r="C31" s="3">
        <v>90</v>
      </c>
      <c r="D31" s="3">
        <v>10</v>
      </c>
      <c r="E31" s="3">
        <v>13</v>
      </c>
      <c r="F31" s="3">
        <v>11</v>
      </c>
      <c r="G31" s="3">
        <v>9</v>
      </c>
      <c r="H31" s="3">
        <v>15</v>
      </c>
      <c r="I31" s="3"/>
      <c r="J31" s="3"/>
      <c r="K31" s="3"/>
      <c r="L31" s="3"/>
      <c r="M31" s="3"/>
      <c r="N31" s="3"/>
      <c r="O31" s="3"/>
      <c r="P31" s="3"/>
      <c r="Q31" s="2"/>
      <c r="R31" s="2"/>
      <c r="S31" s="2" t="s">
        <v>2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</row>
    <row r="32" spans="1:50" x14ac:dyDescent="0.25">
      <c r="A32" s="3" t="s">
        <v>27</v>
      </c>
      <c r="B32" s="3">
        <v>0</v>
      </c>
      <c r="C32" s="3">
        <v>90</v>
      </c>
      <c r="D32" s="3">
        <v>50</v>
      </c>
      <c r="E32" s="3">
        <v>65</v>
      </c>
      <c r="F32" s="3">
        <v>90</v>
      </c>
      <c r="G32" s="3">
        <v>115</v>
      </c>
      <c r="H32" s="3">
        <v>96</v>
      </c>
      <c r="I32" s="3"/>
      <c r="J32" s="3"/>
      <c r="K32" s="3"/>
      <c r="L32" s="3"/>
      <c r="M32" s="3"/>
      <c r="N32" s="3"/>
      <c r="O32" s="3"/>
      <c r="P32" s="3"/>
      <c r="Q32" s="2"/>
      <c r="R32" s="2"/>
      <c r="S32" s="2" t="s">
        <v>2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</row>
    <row r="33" spans="1:256" x14ac:dyDescent="0.25">
      <c r="A33" s="3" t="s">
        <v>18</v>
      </c>
      <c r="B33" s="3">
        <v>0</v>
      </c>
      <c r="C33" s="3">
        <v>90</v>
      </c>
      <c r="D33" s="3">
        <v>10</v>
      </c>
      <c r="E33" s="3">
        <v>20</v>
      </c>
      <c r="F33" s="3">
        <v>23</v>
      </c>
      <c r="G33" s="3">
        <v>26</v>
      </c>
      <c r="H33" s="3"/>
      <c r="I33" s="3"/>
      <c r="J33" s="3"/>
      <c r="K33" s="3"/>
      <c r="L33" s="3"/>
      <c r="M33" s="3"/>
      <c r="N33" s="3"/>
      <c r="O33" s="3"/>
      <c r="P33" s="3"/>
      <c r="Q33" s="2"/>
      <c r="R33" s="2"/>
      <c r="S33" s="2" t="s">
        <v>2</v>
      </c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</row>
    <row r="34" spans="1:256" ht="12" customHeight="1" x14ac:dyDescent="0.25">
      <c r="A34" s="3" t="s">
        <v>31</v>
      </c>
      <c r="B34" s="3">
        <v>0</v>
      </c>
      <c r="C34" s="3">
        <v>20</v>
      </c>
      <c r="D34" s="3">
        <v>6</v>
      </c>
      <c r="E34" s="3">
        <v>6</v>
      </c>
      <c r="F34" s="3">
        <v>6</v>
      </c>
      <c r="G34" s="3">
        <v>8</v>
      </c>
      <c r="H34" s="3"/>
      <c r="I34" s="3"/>
      <c r="J34" s="3"/>
      <c r="K34" s="3"/>
      <c r="L34" s="3"/>
      <c r="M34" s="3"/>
      <c r="N34" s="3"/>
      <c r="O34" s="3"/>
      <c r="P34" s="3"/>
      <c r="Q34" s="2"/>
      <c r="R34" s="2"/>
      <c r="S34" s="2" t="s">
        <v>2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</row>
    <row r="35" spans="1:256" s="16" customFormat="1" x14ac:dyDescent="0.25">
      <c r="A35" s="16" t="s">
        <v>19</v>
      </c>
      <c r="B35" s="16">
        <v>0</v>
      </c>
      <c r="C35" s="16">
        <v>1000000000</v>
      </c>
      <c r="D35" s="16">
        <v>900</v>
      </c>
      <c r="E35" s="16">
        <v>0</v>
      </c>
      <c r="F35" s="16">
        <v>60</v>
      </c>
      <c r="G35" s="16">
        <v>60</v>
      </c>
      <c r="H35" s="16">
        <v>1140</v>
      </c>
      <c r="S35" s="16" t="s">
        <v>2</v>
      </c>
    </row>
    <row r="36" spans="1:256" s="8" customFormat="1" x14ac:dyDescent="0.25">
      <c r="A36" s="5" t="s">
        <v>20</v>
      </c>
      <c r="B36" s="5">
        <v>-1000000000</v>
      </c>
      <c r="C36" s="5">
        <v>1000000000</v>
      </c>
      <c r="D36" s="5"/>
      <c r="E36" s="5">
        <v>3100</v>
      </c>
      <c r="F36" s="5">
        <v>2800</v>
      </c>
      <c r="G36" s="5">
        <v>2800</v>
      </c>
      <c r="H36" s="5">
        <v>-2800</v>
      </c>
      <c r="I36" s="5"/>
      <c r="J36" s="5"/>
      <c r="K36" s="5"/>
      <c r="L36" s="5"/>
      <c r="M36" s="5"/>
      <c r="N36" s="5"/>
      <c r="O36" s="5"/>
      <c r="P36" s="5"/>
      <c r="Q36" s="7"/>
      <c r="R36" s="7"/>
      <c r="S36" s="7" t="s">
        <v>2</v>
      </c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256" s="8" customFormat="1" x14ac:dyDescent="0.25">
      <c r="A37" s="5" t="s">
        <v>22</v>
      </c>
      <c r="B37" s="5">
        <v>-1000000000</v>
      </c>
      <c r="C37" s="5">
        <v>1000000000</v>
      </c>
      <c r="D37" s="5"/>
      <c r="E37" s="5">
        <v>2064</v>
      </c>
      <c r="F37" s="5">
        <v>864</v>
      </c>
      <c r="G37" s="5">
        <v>432</v>
      </c>
      <c r="H37" s="5">
        <v>2520</v>
      </c>
      <c r="I37" s="5"/>
      <c r="J37" s="5"/>
      <c r="K37" s="5"/>
      <c r="L37" s="5"/>
      <c r="M37" s="5"/>
      <c r="N37" s="5"/>
      <c r="O37" s="5"/>
      <c r="P37" s="5"/>
      <c r="Q37" s="7"/>
      <c r="R37" s="7"/>
      <c r="S37" s="7" t="s">
        <v>2</v>
      </c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256" s="8" customFormat="1" x14ac:dyDescent="0.25">
      <c r="A38" s="5" t="s">
        <v>23</v>
      </c>
      <c r="B38" s="5">
        <v>-1000000000</v>
      </c>
      <c r="C38" s="5">
        <v>1000000000</v>
      </c>
      <c r="D38" s="5"/>
      <c r="E38" s="5">
        <v>0</v>
      </c>
      <c r="F38" s="5">
        <v>0</v>
      </c>
      <c r="G38" s="5">
        <v>0</v>
      </c>
      <c r="H38" s="5">
        <v>2310</v>
      </c>
      <c r="I38" s="5"/>
      <c r="J38" s="5"/>
      <c r="K38" s="5"/>
      <c r="L38" s="5"/>
      <c r="M38" s="5"/>
      <c r="N38" s="5"/>
      <c r="O38" s="5"/>
      <c r="P38" s="5"/>
      <c r="Q38" s="7"/>
      <c r="R38" s="7"/>
      <c r="S38" s="7" t="s">
        <v>2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256" s="8" customFormat="1" x14ac:dyDescent="0.25">
      <c r="A39" s="5" t="s">
        <v>38</v>
      </c>
      <c r="B39" s="5">
        <v>-1000000000</v>
      </c>
      <c r="C39" s="5">
        <v>1000000000</v>
      </c>
      <c r="D39" s="5"/>
      <c r="E39" s="5">
        <v>0</v>
      </c>
      <c r="F39" s="5">
        <v>0</v>
      </c>
      <c r="G39" s="5">
        <v>0</v>
      </c>
      <c r="H39" s="5"/>
      <c r="I39" s="5"/>
      <c r="J39" s="5"/>
      <c r="K39" s="5"/>
      <c r="L39" s="5"/>
      <c r="M39" s="5"/>
      <c r="N39" s="5"/>
      <c r="O39" s="5"/>
      <c r="P39" s="5"/>
      <c r="Q39" s="7"/>
      <c r="R39" s="7"/>
      <c r="S39" s="7" t="s">
        <v>2</v>
      </c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256" s="8" customFormat="1" x14ac:dyDescent="0.25">
      <c r="A40" s="5" t="s">
        <v>28</v>
      </c>
      <c r="B40" s="5">
        <v>-1000000000</v>
      </c>
      <c r="C40" s="5">
        <v>1000000000</v>
      </c>
      <c r="D40" s="5"/>
      <c r="E40" s="5">
        <v>192</v>
      </c>
      <c r="F40" s="5">
        <v>384</v>
      </c>
      <c r="G40" s="5">
        <v>256</v>
      </c>
      <c r="H40" s="5">
        <v>320</v>
      </c>
      <c r="I40" s="5">
        <v>960</v>
      </c>
      <c r="J40" s="5"/>
      <c r="K40" s="5"/>
      <c r="L40" s="5"/>
      <c r="M40" s="5"/>
      <c r="N40" s="5"/>
      <c r="O40" s="5"/>
      <c r="P40" s="5"/>
      <c r="Q40" s="7"/>
      <c r="R40" s="7"/>
      <c r="S40" s="7" t="s">
        <v>2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256" s="8" customFormat="1" x14ac:dyDescent="0.25">
      <c r="A41" s="5" t="s">
        <v>29</v>
      </c>
      <c r="B41" s="5">
        <v>-1000000000</v>
      </c>
      <c r="C41" s="5">
        <v>1000000000</v>
      </c>
      <c r="D41" s="5"/>
      <c r="E41" s="5">
        <v>660</v>
      </c>
      <c r="F41" s="5">
        <v>1320</v>
      </c>
      <c r="G41" s="5">
        <v>2420</v>
      </c>
      <c r="H41" s="5">
        <v>2640</v>
      </c>
      <c r="I41" s="5">
        <v>4224</v>
      </c>
      <c r="J41" s="5"/>
      <c r="K41" s="5"/>
      <c r="L41" s="5"/>
      <c r="M41" s="5"/>
      <c r="N41" s="5"/>
      <c r="O41" s="5"/>
      <c r="P41" s="5"/>
      <c r="Q41" s="7"/>
      <c r="R41" s="7"/>
      <c r="S41" s="7" t="s">
        <v>2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256" s="8" customFormat="1" x14ac:dyDescent="0.25">
      <c r="A42" s="5" t="s">
        <v>24</v>
      </c>
      <c r="B42" s="5">
        <v>-1000000000</v>
      </c>
      <c r="C42" s="5">
        <v>1000000000</v>
      </c>
      <c r="D42" s="5"/>
      <c r="E42" s="5">
        <v>0</v>
      </c>
      <c r="F42" s="5">
        <v>260</v>
      </c>
      <c r="G42" s="5">
        <v>320</v>
      </c>
      <c r="H42" s="5">
        <v>200</v>
      </c>
      <c r="I42" s="5"/>
      <c r="J42" s="5"/>
      <c r="K42" s="5"/>
      <c r="L42" s="5"/>
      <c r="M42" s="5"/>
      <c r="N42" s="5"/>
      <c r="O42" s="5"/>
      <c r="P42" s="5"/>
      <c r="Q42" s="7"/>
      <c r="R42" s="7"/>
      <c r="S42" s="7" t="s">
        <v>2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256" s="8" customFormat="1" x14ac:dyDescent="0.25">
      <c r="A43" s="5" t="s">
        <v>32</v>
      </c>
      <c r="B43" s="5">
        <v>-1000000000</v>
      </c>
      <c r="C43" s="5">
        <v>1000000000</v>
      </c>
      <c r="D43" s="5"/>
      <c r="E43" s="5">
        <v>0</v>
      </c>
      <c r="F43" s="5">
        <v>0</v>
      </c>
      <c r="G43" s="5">
        <v>4000</v>
      </c>
      <c r="H43" s="5">
        <v>-4000</v>
      </c>
      <c r="I43" s="5"/>
      <c r="J43" s="5"/>
      <c r="K43" s="5"/>
      <c r="L43" s="5"/>
      <c r="M43" s="5"/>
      <c r="N43" s="5"/>
      <c r="O43" s="5"/>
      <c r="P43" s="5"/>
      <c r="Q43" s="7"/>
      <c r="R43" s="7"/>
      <c r="S43" s="7" t="s">
        <v>2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256" s="8" customFormat="1" x14ac:dyDescent="0.25">
      <c r="A44" s="5" t="s">
        <v>35</v>
      </c>
      <c r="B44" s="5">
        <v>-1000000000</v>
      </c>
      <c r="C44" s="5">
        <v>1000000000</v>
      </c>
      <c r="D44" s="5"/>
      <c r="E44" s="5">
        <v>0</v>
      </c>
      <c r="F44" s="5">
        <v>0</v>
      </c>
      <c r="G44" s="5">
        <v>0</v>
      </c>
      <c r="H44" s="5">
        <v>0</v>
      </c>
      <c r="I44" s="5"/>
      <c r="J44" s="5"/>
      <c r="K44" s="5"/>
      <c r="L44" s="5"/>
      <c r="M44" s="5"/>
      <c r="N44" s="5"/>
      <c r="O44" s="5"/>
      <c r="P44" s="5"/>
      <c r="Q44" s="7"/>
      <c r="R44" s="7"/>
      <c r="S44" s="7" t="s">
        <v>2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256" s="7" customFormat="1" x14ac:dyDescent="0.25">
      <c r="A45" s="5" t="s">
        <v>33</v>
      </c>
      <c r="B45" s="5">
        <v>-1000000000</v>
      </c>
      <c r="C45" s="5">
        <v>1000000000</v>
      </c>
      <c r="D45" s="5"/>
      <c r="E45" s="5">
        <v>18000</v>
      </c>
      <c r="F45" s="5">
        <v>18000</v>
      </c>
      <c r="G45" s="5">
        <v>18000</v>
      </c>
      <c r="H45" s="5">
        <v>6000</v>
      </c>
      <c r="I45" s="5"/>
      <c r="J45" s="5"/>
      <c r="K45" s="5"/>
      <c r="L45" s="5"/>
      <c r="M45" s="5"/>
      <c r="N45" s="5"/>
      <c r="O45" s="5"/>
      <c r="P45" s="5"/>
      <c r="S45" s="7" t="s">
        <v>2</v>
      </c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  <c r="IV45" s="8"/>
    </row>
    <row r="46" spans="1:256" s="12" customFormat="1" x14ac:dyDescent="0.25">
      <c r="A46" s="9" t="s">
        <v>21</v>
      </c>
      <c r="B46" s="9">
        <v>-1000000000</v>
      </c>
      <c r="C46" s="9">
        <v>1000000000</v>
      </c>
      <c r="D46" s="10"/>
      <c r="E46" s="9">
        <v>19000</v>
      </c>
      <c r="F46" s="9">
        <v>17500</v>
      </c>
      <c r="G46" s="9">
        <v>17500</v>
      </c>
      <c r="H46" s="9">
        <v>-17500</v>
      </c>
      <c r="I46" s="9"/>
      <c r="J46" s="9"/>
      <c r="K46" s="9"/>
      <c r="L46" s="9"/>
      <c r="M46" s="9"/>
      <c r="N46" s="9"/>
      <c r="O46" s="9"/>
      <c r="P46" s="9"/>
      <c r="Q46" s="11"/>
      <c r="S46" s="12" t="s">
        <v>2</v>
      </c>
    </row>
    <row r="47" spans="1:256" x14ac:dyDescent="0.25">
      <c r="Q47" s="2"/>
      <c r="R47" s="2"/>
      <c r="S47" s="2" t="s">
        <v>2</v>
      </c>
    </row>
    <row r="48" spans="1:256" x14ac:dyDescent="0.25">
      <c r="A48" s="2" t="s">
        <v>2</v>
      </c>
      <c r="B48" s="2" t="s">
        <v>2</v>
      </c>
      <c r="C48" s="2" t="s">
        <v>2</v>
      </c>
      <c r="D48" s="2" t="s">
        <v>2</v>
      </c>
      <c r="E48" s="2" t="s">
        <v>2</v>
      </c>
      <c r="F48" s="2" t="s">
        <v>2</v>
      </c>
      <c r="G48" s="2" t="s">
        <v>2</v>
      </c>
      <c r="H48" s="2" t="s">
        <v>2</v>
      </c>
      <c r="I48" s="2" t="s">
        <v>2</v>
      </c>
      <c r="J48" s="2" t="s">
        <v>2</v>
      </c>
      <c r="K48" s="2" t="s">
        <v>2</v>
      </c>
      <c r="L48" s="2" t="s">
        <v>2</v>
      </c>
      <c r="M48" s="2" t="s">
        <v>2</v>
      </c>
      <c r="N48" s="2" t="s">
        <v>2</v>
      </c>
      <c r="O48" s="2" t="s">
        <v>2</v>
      </c>
      <c r="P48" s="2" t="s">
        <v>2</v>
      </c>
      <c r="Q48" s="2" t="s">
        <v>2</v>
      </c>
      <c r="R48" s="2" t="s">
        <v>2</v>
      </c>
      <c r="S48" s="2" t="s">
        <v>2</v>
      </c>
    </row>
    <row r="49" ht="17.25" customHeight="1" x14ac:dyDescent="0.25"/>
  </sheetData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35DF8-231E-432B-AA80-3946EEAFA9A8}">
  <dimension ref="A1:IV49"/>
  <sheetViews>
    <sheetView topLeftCell="A21" workbookViewId="0">
      <pane xSplit="1" topLeftCell="B1" activePane="topRight" state="frozenSplit"/>
      <selection activeCell="A95" sqref="A95"/>
      <selection pane="topRight"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14" width="6.88671875" style="1" customWidth="1"/>
    <col min="15" max="16" width="10.33203125" style="1" customWidth="1"/>
    <col min="17" max="17" width="7.33203125" style="1" customWidth="1"/>
    <col min="18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20" x14ac:dyDescent="0.25">
      <c r="A1" s="1" t="s">
        <v>0</v>
      </c>
      <c r="B1" s="1" t="s">
        <v>39</v>
      </c>
      <c r="E1" s="1" t="s">
        <v>15</v>
      </c>
      <c r="F1" s="1">
        <v>1</v>
      </c>
      <c r="Q1" s="2"/>
      <c r="S1" s="2" t="s">
        <v>2</v>
      </c>
    </row>
    <row r="2" spans="1:20" x14ac:dyDescent="0.25">
      <c r="Q2" s="2"/>
      <c r="S2" s="2" t="s">
        <v>2</v>
      </c>
    </row>
    <row r="3" spans="1:20" ht="66" x14ac:dyDescent="0.25">
      <c r="A3" s="3" t="s">
        <v>3</v>
      </c>
      <c r="B3" s="3" t="s">
        <v>37</v>
      </c>
      <c r="C3" s="3" t="s">
        <v>40</v>
      </c>
      <c r="D3" s="3" t="s">
        <v>41</v>
      </c>
      <c r="E3" s="3" t="s">
        <v>19</v>
      </c>
      <c r="F3" s="3" t="s">
        <v>19</v>
      </c>
      <c r="G3" s="3" t="s">
        <v>20</v>
      </c>
      <c r="H3" s="3" t="s">
        <v>20</v>
      </c>
      <c r="I3" s="3" t="s">
        <v>21</v>
      </c>
      <c r="J3" s="3" t="s">
        <v>21</v>
      </c>
      <c r="K3" s="3" t="s">
        <v>38</v>
      </c>
      <c r="L3" s="3" t="s">
        <v>42</v>
      </c>
      <c r="M3" s="3" t="s">
        <v>43</v>
      </c>
      <c r="N3" s="3" t="s">
        <v>5</v>
      </c>
      <c r="O3" s="3" t="s">
        <v>5</v>
      </c>
      <c r="P3" s="3" t="s">
        <v>5</v>
      </c>
      <c r="Q3" s="3" t="s">
        <v>13</v>
      </c>
      <c r="S3" s="2" t="s">
        <v>2</v>
      </c>
    </row>
    <row r="4" spans="1:20" x14ac:dyDescent="0.25">
      <c r="A4" s="3" t="s">
        <v>44</v>
      </c>
      <c r="B4" s="3">
        <v>20</v>
      </c>
      <c r="C4" s="3">
        <v>-1</v>
      </c>
      <c r="D4" s="3">
        <v>-1</v>
      </c>
      <c r="E4" s="3">
        <v>-20</v>
      </c>
      <c r="F4" s="3">
        <f>-E4</f>
        <v>20</v>
      </c>
      <c r="G4" s="3">
        <v>100</v>
      </c>
      <c r="H4" s="3">
        <f>-G4</f>
        <v>-100</v>
      </c>
      <c r="I4" s="3">
        <v>500</v>
      </c>
      <c r="J4" s="3">
        <f>-I4</f>
        <v>-500</v>
      </c>
      <c r="K4" s="3">
        <v>380</v>
      </c>
      <c r="L4" s="3">
        <v>-310</v>
      </c>
      <c r="M4" s="3">
        <v>-60</v>
      </c>
      <c r="N4" s="3">
        <f>-G4</f>
        <v>-100</v>
      </c>
      <c r="O4" s="3">
        <f>-K4</f>
        <v>-380</v>
      </c>
      <c r="P4" s="3">
        <f>-(L4+M4)</f>
        <v>370</v>
      </c>
      <c r="Q4" s="3">
        <f>I4</f>
        <v>500</v>
      </c>
      <c r="S4" s="2" t="s">
        <v>2</v>
      </c>
    </row>
    <row r="5" spans="1:20" x14ac:dyDescent="0.25">
      <c r="A5" s="3" t="s">
        <v>7</v>
      </c>
      <c r="B5" s="3">
        <v>0</v>
      </c>
      <c r="C5" s="3">
        <v>0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1</v>
      </c>
      <c r="K5" s="3">
        <v>1</v>
      </c>
      <c r="L5" s="3">
        <v>0</v>
      </c>
      <c r="M5" s="3">
        <v>0</v>
      </c>
      <c r="N5" s="3">
        <v>0</v>
      </c>
      <c r="O5" s="3">
        <v>1</v>
      </c>
      <c r="P5" s="3">
        <v>0</v>
      </c>
      <c r="Q5" s="3">
        <v>0</v>
      </c>
      <c r="S5" s="2" t="s">
        <v>2</v>
      </c>
    </row>
    <row r="6" spans="1:20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20</v>
      </c>
      <c r="P6" s="3">
        <v>20</v>
      </c>
      <c r="Q6" s="3">
        <v>0</v>
      </c>
      <c r="S6" s="2" t="s">
        <v>2</v>
      </c>
    </row>
    <row r="7" spans="1:20" s="2" customFormat="1" ht="26.4" x14ac:dyDescent="0.25">
      <c r="A7" s="14" t="s">
        <v>9</v>
      </c>
      <c r="B7" s="3" t="s">
        <v>39</v>
      </c>
      <c r="C7" s="3" t="s">
        <v>39</v>
      </c>
      <c r="D7" s="3" t="s">
        <v>39</v>
      </c>
      <c r="E7" s="3" t="s">
        <v>39</v>
      </c>
      <c r="F7" s="3" t="s">
        <v>39</v>
      </c>
      <c r="G7" s="3" t="s">
        <v>39</v>
      </c>
      <c r="H7" s="3" t="s">
        <v>39</v>
      </c>
      <c r="I7" s="3" t="s">
        <v>39</v>
      </c>
      <c r="J7" s="3" t="s">
        <v>39</v>
      </c>
      <c r="K7" s="3" t="s">
        <v>39</v>
      </c>
      <c r="L7" s="3" t="s">
        <v>39</v>
      </c>
      <c r="M7" s="3" t="s">
        <v>39</v>
      </c>
      <c r="N7" s="14" t="s">
        <v>1</v>
      </c>
      <c r="O7" s="14" t="s">
        <v>1</v>
      </c>
      <c r="P7" s="14" t="s">
        <v>1</v>
      </c>
      <c r="Q7" s="14" t="s">
        <v>1</v>
      </c>
      <c r="S7" s="2" t="s">
        <v>2</v>
      </c>
      <c r="T7" s="1"/>
    </row>
    <row r="8" spans="1:20" x14ac:dyDescent="0.25">
      <c r="S8" s="2" t="s">
        <v>2</v>
      </c>
    </row>
    <row r="9" spans="1:20" ht="66" x14ac:dyDescent="0.25">
      <c r="A9" s="3" t="s">
        <v>3</v>
      </c>
      <c r="B9" s="3" t="s">
        <v>40</v>
      </c>
      <c r="C9" s="3" t="s">
        <v>26</v>
      </c>
      <c r="D9" s="3" t="s">
        <v>45</v>
      </c>
      <c r="E9" s="3" t="s">
        <v>19</v>
      </c>
      <c r="F9" s="3" t="s">
        <v>19</v>
      </c>
      <c r="G9" s="3" t="s">
        <v>20</v>
      </c>
      <c r="H9" s="3" t="s">
        <v>20</v>
      </c>
      <c r="I9" s="3" t="s">
        <v>21</v>
      </c>
      <c r="J9" s="3" t="s">
        <v>21</v>
      </c>
      <c r="K9" s="3" t="s">
        <v>42</v>
      </c>
      <c r="L9" s="3" t="s">
        <v>28</v>
      </c>
      <c r="M9" s="3" t="s">
        <v>46</v>
      </c>
      <c r="N9" s="3" t="s">
        <v>5</v>
      </c>
      <c r="O9" s="3" t="s">
        <v>5</v>
      </c>
      <c r="P9" s="3" t="s">
        <v>5</v>
      </c>
      <c r="Q9" s="3" t="s">
        <v>13</v>
      </c>
      <c r="S9" s="2" t="s">
        <v>2</v>
      </c>
    </row>
    <row r="10" spans="1:20" x14ac:dyDescent="0.25">
      <c r="A10" s="3" t="s">
        <v>47</v>
      </c>
      <c r="B10" s="3">
        <v>1</v>
      </c>
      <c r="C10" s="3">
        <v>-4</v>
      </c>
      <c r="D10" s="3">
        <v>-1</v>
      </c>
      <c r="E10" s="3">
        <v>-100</v>
      </c>
      <c r="F10" s="3">
        <f>-E10</f>
        <v>100</v>
      </c>
      <c r="G10" s="3">
        <v>300</v>
      </c>
      <c r="H10" s="3">
        <f>-G10</f>
        <v>-300</v>
      </c>
      <c r="I10" s="3">
        <v>2000</v>
      </c>
      <c r="J10" s="3">
        <f>-I10</f>
        <v>-2000</v>
      </c>
      <c r="K10" s="3">
        <v>310</v>
      </c>
      <c r="L10" s="3">
        <f>64*C10</f>
        <v>-256</v>
      </c>
      <c r="M10" s="3">
        <f>8*D10</f>
        <v>-8</v>
      </c>
      <c r="N10" s="3">
        <f>-G10</f>
        <v>-300</v>
      </c>
      <c r="O10" s="3">
        <f>-K10</f>
        <v>-310</v>
      </c>
      <c r="P10" s="3">
        <f>-(L10+M10)</f>
        <v>264</v>
      </c>
      <c r="Q10" s="3">
        <f>I10</f>
        <v>2000</v>
      </c>
      <c r="S10" s="2" t="s">
        <v>2</v>
      </c>
    </row>
    <row r="11" spans="1:20" x14ac:dyDescent="0.25">
      <c r="A11" s="3" t="s">
        <v>7</v>
      </c>
      <c r="B11" s="3">
        <v>0</v>
      </c>
      <c r="C11" s="3">
        <v>0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1</v>
      </c>
      <c r="K11" s="3">
        <v>1</v>
      </c>
      <c r="L11" s="3">
        <v>0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S11" s="2" t="s">
        <v>2</v>
      </c>
    </row>
    <row r="12" spans="1:20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20</v>
      </c>
      <c r="P12" s="3">
        <v>20</v>
      </c>
      <c r="Q12" s="3">
        <v>0</v>
      </c>
      <c r="S12" s="2" t="s">
        <v>2</v>
      </c>
    </row>
    <row r="13" spans="1:20" s="2" customFormat="1" ht="26.4" x14ac:dyDescent="0.25">
      <c r="A13" s="14" t="s">
        <v>9</v>
      </c>
      <c r="B13" s="3" t="s">
        <v>39</v>
      </c>
      <c r="C13" s="3" t="s">
        <v>39</v>
      </c>
      <c r="D13" s="3" t="s">
        <v>39</v>
      </c>
      <c r="E13" s="3" t="s">
        <v>39</v>
      </c>
      <c r="F13" s="3" t="s">
        <v>39</v>
      </c>
      <c r="G13" s="3" t="s">
        <v>39</v>
      </c>
      <c r="H13" s="3" t="s">
        <v>39</v>
      </c>
      <c r="I13" s="3" t="s">
        <v>39</v>
      </c>
      <c r="J13" s="3" t="s">
        <v>39</v>
      </c>
      <c r="K13" s="3" t="s">
        <v>39</v>
      </c>
      <c r="L13" s="3" t="s">
        <v>39</v>
      </c>
      <c r="M13" s="3" t="s">
        <v>39</v>
      </c>
      <c r="N13" s="14" t="s">
        <v>1</v>
      </c>
      <c r="O13" s="14" t="s">
        <v>1</v>
      </c>
      <c r="P13" s="14" t="s">
        <v>1</v>
      </c>
      <c r="Q13" s="14" t="s">
        <v>1</v>
      </c>
      <c r="S13" s="2" t="s">
        <v>2</v>
      </c>
      <c r="T13" s="1"/>
    </row>
    <row r="14" spans="1:20" x14ac:dyDescent="0.25">
      <c r="Q14" s="2"/>
      <c r="S14" s="2" t="s">
        <v>2</v>
      </c>
    </row>
    <row r="15" spans="1:20" ht="26.4" x14ac:dyDescent="0.25">
      <c r="A15" s="3" t="s">
        <v>3</v>
      </c>
      <c r="B15" s="3" t="s">
        <v>31</v>
      </c>
      <c r="C15" s="3" t="s">
        <v>19</v>
      </c>
      <c r="D15" s="3" t="s">
        <v>32</v>
      </c>
      <c r="E15" s="3" t="s">
        <v>32</v>
      </c>
      <c r="F15" s="3" t="s">
        <v>33</v>
      </c>
      <c r="G15" s="3" t="s">
        <v>5</v>
      </c>
      <c r="H15" s="3" t="s">
        <v>5</v>
      </c>
      <c r="Q15" s="2"/>
      <c r="S15" s="2" t="s">
        <v>2</v>
      </c>
    </row>
    <row r="16" spans="1:20" x14ac:dyDescent="0.25">
      <c r="A16" s="3" t="s">
        <v>34</v>
      </c>
      <c r="B16" s="3">
        <v>1</v>
      </c>
      <c r="C16" s="3">
        <v>150</v>
      </c>
      <c r="D16" s="3">
        <v>2000</v>
      </c>
      <c r="E16" s="3">
        <f>-D16</f>
        <v>-2000</v>
      </c>
      <c r="F16" s="3">
        <v>3000</v>
      </c>
      <c r="G16" s="3">
        <f>-D16</f>
        <v>-2000</v>
      </c>
      <c r="H16" s="3">
        <f>-F16</f>
        <v>-3000</v>
      </c>
      <c r="Q16" s="2"/>
      <c r="S16" s="2" t="s">
        <v>2</v>
      </c>
    </row>
    <row r="17" spans="1:19" x14ac:dyDescent="0.25">
      <c r="A17" s="3" t="s">
        <v>7</v>
      </c>
      <c r="B17" s="3">
        <v>0</v>
      </c>
      <c r="C17" s="3">
        <v>1</v>
      </c>
      <c r="D17" s="3">
        <v>0</v>
      </c>
      <c r="E17" s="3">
        <v>1</v>
      </c>
      <c r="F17" s="3">
        <v>1</v>
      </c>
      <c r="G17" s="3">
        <v>0</v>
      </c>
      <c r="H17" s="3">
        <v>1</v>
      </c>
      <c r="Q17" s="2"/>
      <c r="S17" s="2" t="s">
        <v>2</v>
      </c>
    </row>
    <row r="18" spans="1:19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20</v>
      </c>
      <c r="Q18" s="2"/>
      <c r="S18" s="2" t="s">
        <v>2</v>
      </c>
    </row>
    <row r="19" spans="1:19" s="2" customFormat="1" x14ac:dyDescent="0.25">
      <c r="A19" s="14" t="s">
        <v>9</v>
      </c>
      <c r="B19" s="14" t="s">
        <v>39</v>
      </c>
      <c r="C19" s="14" t="s">
        <v>39</v>
      </c>
      <c r="D19" s="14" t="s">
        <v>39</v>
      </c>
      <c r="E19" s="14" t="s">
        <v>39</v>
      </c>
      <c r="F19" s="14" t="s">
        <v>39</v>
      </c>
      <c r="G19" s="14" t="s">
        <v>1</v>
      </c>
      <c r="H19" s="14" t="s">
        <v>1</v>
      </c>
      <c r="S19" s="2" t="s">
        <v>2</v>
      </c>
    </row>
    <row r="20" spans="1:19" x14ac:dyDescent="0.25">
      <c r="Q20" s="2"/>
      <c r="S20" s="2" t="s">
        <v>2</v>
      </c>
    </row>
    <row r="21" spans="1:19" ht="26.4" x14ac:dyDescent="0.25">
      <c r="A21" s="3" t="s">
        <v>3</v>
      </c>
      <c r="B21" s="3" t="s">
        <v>31</v>
      </c>
      <c r="C21" s="3" t="s">
        <v>19</v>
      </c>
      <c r="D21" s="3" t="s">
        <v>35</v>
      </c>
      <c r="E21" s="3" t="s">
        <v>35</v>
      </c>
      <c r="F21" s="3" t="s">
        <v>33</v>
      </c>
      <c r="G21" s="3" t="s">
        <v>5</v>
      </c>
      <c r="H21" s="3" t="s">
        <v>5</v>
      </c>
      <c r="Q21" s="2"/>
      <c r="S21" s="2" t="s">
        <v>2</v>
      </c>
    </row>
    <row r="22" spans="1:19" x14ac:dyDescent="0.25">
      <c r="A22" s="3" t="s">
        <v>36</v>
      </c>
      <c r="B22" s="3">
        <v>-1</v>
      </c>
      <c r="C22" s="3">
        <v>-150</v>
      </c>
      <c r="D22" s="3">
        <v>2000</v>
      </c>
      <c r="E22" s="3">
        <f>-D22</f>
        <v>-2000</v>
      </c>
      <c r="F22" s="3">
        <v>-3000</v>
      </c>
      <c r="G22" s="3">
        <f>-D22</f>
        <v>-2000</v>
      </c>
      <c r="H22" s="3">
        <f>-F22</f>
        <v>3000</v>
      </c>
      <c r="Q22" s="2"/>
      <c r="S22" s="2" t="s">
        <v>2</v>
      </c>
    </row>
    <row r="23" spans="1:19" x14ac:dyDescent="0.25">
      <c r="A23" s="3" t="s">
        <v>7</v>
      </c>
      <c r="B23" s="3">
        <v>0</v>
      </c>
      <c r="C23" s="3">
        <v>1</v>
      </c>
      <c r="D23" s="3">
        <v>0</v>
      </c>
      <c r="E23" s="3">
        <v>1</v>
      </c>
      <c r="F23" s="3">
        <v>1</v>
      </c>
      <c r="G23" s="3">
        <v>0</v>
      </c>
      <c r="H23" s="3">
        <v>1</v>
      </c>
      <c r="Q23" s="2"/>
      <c r="S23" s="2" t="s">
        <v>2</v>
      </c>
    </row>
    <row r="24" spans="1:19" x14ac:dyDescent="0.25">
      <c r="A24" s="3" t="s">
        <v>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20</v>
      </c>
      <c r="Q24" s="2"/>
      <c r="S24" s="2" t="s">
        <v>2</v>
      </c>
    </row>
    <row r="25" spans="1:19" s="2" customFormat="1" x14ac:dyDescent="0.25">
      <c r="A25" s="14" t="s">
        <v>9</v>
      </c>
      <c r="B25" s="14" t="s">
        <v>39</v>
      </c>
      <c r="C25" s="14" t="s">
        <v>39</v>
      </c>
      <c r="D25" s="14" t="s">
        <v>39</v>
      </c>
      <c r="E25" s="14" t="s">
        <v>39</v>
      </c>
      <c r="F25" s="14" t="s">
        <v>39</v>
      </c>
      <c r="G25" s="14" t="s">
        <v>1</v>
      </c>
      <c r="H25" s="14" t="s">
        <v>1</v>
      </c>
      <c r="S25" s="2" t="s">
        <v>2</v>
      </c>
    </row>
    <row r="26" spans="1:19" x14ac:dyDescent="0.25">
      <c r="Q26" s="2"/>
      <c r="S26" s="2" t="s">
        <v>2</v>
      </c>
    </row>
    <row r="27" spans="1:19" x14ac:dyDescent="0.25">
      <c r="A27" s="3" t="s">
        <v>10</v>
      </c>
      <c r="B27" s="3" t="s">
        <v>11</v>
      </c>
      <c r="C27" s="3" t="s">
        <v>12</v>
      </c>
      <c r="D27" s="4">
        <v>0</v>
      </c>
      <c r="E27" s="4">
        <v>1</v>
      </c>
      <c r="F27" s="4">
        <v>2</v>
      </c>
      <c r="G27" s="4">
        <v>3</v>
      </c>
      <c r="H27" s="4">
        <v>4</v>
      </c>
      <c r="I27" s="4">
        <v>5</v>
      </c>
      <c r="J27" s="4">
        <v>6</v>
      </c>
      <c r="K27" s="4">
        <v>7</v>
      </c>
      <c r="L27" s="4">
        <v>8</v>
      </c>
      <c r="M27" s="4">
        <v>9</v>
      </c>
      <c r="N27" s="4">
        <v>10</v>
      </c>
      <c r="O27" s="4">
        <v>11</v>
      </c>
      <c r="P27" s="4">
        <v>12</v>
      </c>
      <c r="Q27" s="2"/>
      <c r="S27" s="2" t="s">
        <v>2</v>
      </c>
    </row>
    <row r="28" spans="1:19" x14ac:dyDescent="0.25">
      <c r="A28" s="3" t="s">
        <v>37</v>
      </c>
      <c r="B28" s="3">
        <v>0</v>
      </c>
      <c r="C28" s="3">
        <v>750</v>
      </c>
      <c r="D28" s="3">
        <v>200</v>
      </c>
      <c r="E28" s="3">
        <v>304</v>
      </c>
      <c r="F28" s="3">
        <v>185</v>
      </c>
      <c r="G28" s="3">
        <v>157</v>
      </c>
      <c r="H28" s="3"/>
      <c r="I28" s="3"/>
      <c r="J28" s="3"/>
      <c r="K28" s="3"/>
      <c r="L28" s="3"/>
      <c r="M28" s="3"/>
      <c r="N28" s="3"/>
      <c r="O28" s="3"/>
      <c r="P28" s="3"/>
      <c r="Q28" s="2"/>
      <c r="S28" s="2" t="s">
        <v>2</v>
      </c>
    </row>
    <row r="29" spans="1:19" x14ac:dyDescent="0.25">
      <c r="A29" s="3" t="s">
        <v>40</v>
      </c>
      <c r="B29" s="3">
        <v>0</v>
      </c>
      <c r="C29" s="3">
        <v>160</v>
      </c>
      <c r="D29" s="3">
        <v>10</v>
      </c>
      <c r="E29" s="3">
        <v>7</v>
      </c>
      <c r="F29" s="3">
        <v>7</v>
      </c>
      <c r="G29" s="3">
        <v>7</v>
      </c>
      <c r="H29" s="3"/>
      <c r="I29" s="3"/>
      <c r="J29" s="3"/>
      <c r="K29" s="3"/>
      <c r="L29" s="3"/>
      <c r="M29" s="3"/>
      <c r="N29" s="3"/>
      <c r="O29" s="3"/>
      <c r="P29" s="3"/>
      <c r="Q29" s="2"/>
      <c r="S29" s="2" t="s">
        <v>2</v>
      </c>
    </row>
    <row r="30" spans="1:19" x14ac:dyDescent="0.25">
      <c r="A30" s="3" t="s">
        <v>16</v>
      </c>
      <c r="B30" s="3">
        <v>0</v>
      </c>
      <c r="C30" s="3">
        <v>750</v>
      </c>
      <c r="D30" s="3"/>
      <c r="E30" s="3">
        <v>0</v>
      </c>
      <c r="F30" s="3">
        <v>0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2"/>
      <c r="S30" s="2" t="s">
        <v>2</v>
      </c>
    </row>
    <row r="31" spans="1:19" x14ac:dyDescent="0.25">
      <c r="A31" s="3" t="s">
        <v>26</v>
      </c>
      <c r="B31" s="3">
        <v>0</v>
      </c>
      <c r="C31" s="3">
        <v>90</v>
      </c>
      <c r="D31" s="3">
        <v>40</v>
      </c>
      <c r="E31" s="3">
        <v>52</v>
      </c>
      <c r="F31" s="3">
        <v>34</v>
      </c>
      <c r="G31" s="3">
        <v>16</v>
      </c>
      <c r="H31" s="3">
        <v>9</v>
      </c>
      <c r="I31" s="3"/>
      <c r="J31" s="3"/>
      <c r="K31" s="3"/>
      <c r="L31" s="3"/>
      <c r="M31" s="3"/>
      <c r="N31" s="3"/>
      <c r="O31" s="3"/>
      <c r="P31" s="3"/>
      <c r="Q31" s="2"/>
      <c r="S31" s="2" t="s">
        <v>2</v>
      </c>
    </row>
    <row r="32" spans="1:19" x14ac:dyDescent="0.25">
      <c r="A32" s="3" t="s">
        <v>45</v>
      </c>
      <c r="B32" s="3">
        <v>0</v>
      </c>
      <c r="C32" s="3">
        <v>90</v>
      </c>
      <c r="D32" s="3">
        <v>10</v>
      </c>
      <c r="E32" s="3">
        <v>23</v>
      </c>
      <c r="F32" s="3">
        <v>26</v>
      </c>
      <c r="G32" s="3">
        <v>29</v>
      </c>
      <c r="H32" s="3"/>
      <c r="I32" s="3"/>
      <c r="J32" s="3"/>
      <c r="K32" s="3"/>
      <c r="L32" s="3"/>
      <c r="M32" s="3"/>
      <c r="N32" s="3"/>
      <c r="O32" s="3"/>
      <c r="P32" s="3"/>
      <c r="Q32" s="2"/>
      <c r="S32" s="2" t="s">
        <v>2</v>
      </c>
    </row>
    <row r="33" spans="1:256" x14ac:dyDescent="0.25">
      <c r="A33" s="3" t="s">
        <v>41</v>
      </c>
      <c r="B33" s="3">
        <v>0</v>
      </c>
      <c r="C33" s="3">
        <v>90</v>
      </c>
      <c r="D33" s="3">
        <v>10</v>
      </c>
      <c r="E33" s="3">
        <v>20</v>
      </c>
      <c r="F33" s="3">
        <v>23</v>
      </c>
      <c r="G33" s="3">
        <v>26</v>
      </c>
      <c r="H33" s="3"/>
      <c r="I33" s="3"/>
      <c r="J33" s="3"/>
      <c r="K33" s="3"/>
      <c r="L33" s="3"/>
      <c r="M33" s="3"/>
      <c r="N33" s="3"/>
      <c r="O33" s="3"/>
      <c r="P33" s="3"/>
      <c r="Q33" s="2"/>
      <c r="S33" s="2" t="s">
        <v>2</v>
      </c>
    </row>
    <row r="34" spans="1:256" ht="12" customHeight="1" x14ac:dyDescent="0.25">
      <c r="A34" s="3" t="s">
        <v>31</v>
      </c>
      <c r="B34" s="3">
        <v>0</v>
      </c>
      <c r="C34" s="3">
        <v>20</v>
      </c>
      <c r="D34" s="3">
        <v>6</v>
      </c>
      <c r="E34" s="3">
        <v>6</v>
      </c>
      <c r="F34" s="3">
        <v>6</v>
      </c>
      <c r="G34" s="3">
        <v>8</v>
      </c>
      <c r="H34" s="3"/>
      <c r="I34" s="3"/>
      <c r="J34" s="3"/>
      <c r="K34" s="3"/>
      <c r="L34" s="3"/>
      <c r="M34" s="3"/>
      <c r="N34" s="3"/>
      <c r="O34" s="3"/>
      <c r="P34" s="3"/>
      <c r="Q34" s="2"/>
      <c r="S34" s="2" t="s">
        <v>2</v>
      </c>
    </row>
    <row r="35" spans="1:256" s="16" customFormat="1" x14ac:dyDescent="0.25">
      <c r="A35" s="16" t="s">
        <v>19</v>
      </c>
      <c r="B35" s="16">
        <v>0</v>
      </c>
      <c r="C35" s="16">
        <v>1000000000</v>
      </c>
      <c r="D35" s="16">
        <v>900</v>
      </c>
      <c r="E35" s="16">
        <v>0</v>
      </c>
      <c r="F35" s="16">
        <v>60</v>
      </c>
      <c r="G35" s="16">
        <v>60</v>
      </c>
      <c r="H35" s="16">
        <v>1140</v>
      </c>
      <c r="S35" s="16" t="s">
        <v>2</v>
      </c>
    </row>
    <row r="36" spans="1:256" s="8" customFormat="1" x14ac:dyDescent="0.25">
      <c r="A36" s="5" t="s">
        <v>20</v>
      </c>
      <c r="B36" s="5">
        <v>-1000000000</v>
      </c>
      <c r="C36" s="5">
        <v>1000000000</v>
      </c>
      <c r="D36" s="5"/>
      <c r="E36" s="5">
        <v>3100</v>
      </c>
      <c r="F36" s="5">
        <v>2800</v>
      </c>
      <c r="G36" s="5">
        <v>2800</v>
      </c>
      <c r="H36" s="5">
        <v>-2800</v>
      </c>
      <c r="I36" s="5"/>
      <c r="J36" s="5"/>
      <c r="K36" s="5"/>
      <c r="L36" s="5"/>
      <c r="M36" s="5"/>
      <c r="N36" s="5"/>
      <c r="O36" s="5"/>
      <c r="P36" s="5"/>
      <c r="Q36" s="7"/>
      <c r="S36" s="7" t="s">
        <v>2</v>
      </c>
    </row>
    <row r="37" spans="1:256" s="8" customFormat="1" x14ac:dyDescent="0.25">
      <c r="A37" s="5" t="s">
        <v>42</v>
      </c>
      <c r="B37" s="5">
        <v>-1000000000</v>
      </c>
      <c r="C37" s="5">
        <v>1000000000</v>
      </c>
      <c r="D37" s="5"/>
      <c r="E37" s="5">
        <v>0</v>
      </c>
      <c r="F37" s="5">
        <v>0</v>
      </c>
      <c r="G37" s="5">
        <v>0</v>
      </c>
      <c r="H37" s="5">
        <v>2170</v>
      </c>
      <c r="I37" s="5"/>
      <c r="J37" s="5"/>
      <c r="K37" s="5"/>
      <c r="L37" s="5"/>
      <c r="M37" s="5"/>
      <c r="N37" s="5"/>
      <c r="O37" s="5"/>
      <c r="P37" s="5"/>
      <c r="Q37" s="7"/>
      <c r="S37" s="7" t="s">
        <v>2</v>
      </c>
    </row>
    <row r="38" spans="1:256" s="8" customFormat="1" x14ac:dyDescent="0.25">
      <c r="A38" s="5" t="s">
        <v>38</v>
      </c>
      <c r="B38" s="5">
        <v>-1000000000</v>
      </c>
      <c r="C38" s="5">
        <v>1000000000</v>
      </c>
      <c r="D38" s="5"/>
      <c r="E38" s="5">
        <v>1976</v>
      </c>
      <c r="F38" s="5">
        <v>855</v>
      </c>
      <c r="G38" s="5">
        <v>323</v>
      </c>
      <c r="H38" s="5">
        <v>2660</v>
      </c>
      <c r="I38" s="5"/>
      <c r="J38" s="5"/>
      <c r="K38" s="5"/>
      <c r="L38" s="5"/>
      <c r="M38" s="5"/>
      <c r="N38" s="5"/>
      <c r="O38" s="5"/>
      <c r="P38" s="5"/>
      <c r="Q38" s="7"/>
      <c r="S38" s="7" t="s">
        <v>2</v>
      </c>
    </row>
    <row r="39" spans="1:256" s="8" customFormat="1" x14ac:dyDescent="0.25">
      <c r="A39" s="5" t="s">
        <v>22</v>
      </c>
      <c r="B39" s="5">
        <v>-1000000000</v>
      </c>
      <c r="C39" s="5">
        <v>1000000000</v>
      </c>
      <c r="D39" s="5"/>
      <c r="E39" s="5">
        <v>0</v>
      </c>
      <c r="F39" s="5">
        <v>0</v>
      </c>
      <c r="G39" s="5">
        <v>0</v>
      </c>
      <c r="H39" s="5"/>
      <c r="I39" s="5"/>
      <c r="J39" s="5"/>
      <c r="K39" s="5"/>
      <c r="L39" s="5"/>
      <c r="M39" s="5"/>
      <c r="N39" s="5"/>
      <c r="O39" s="5"/>
      <c r="P39" s="5"/>
      <c r="Q39" s="7"/>
      <c r="S39" s="7" t="s">
        <v>2</v>
      </c>
    </row>
    <row r="40" spans="1:256" s="8" customFormat="1" x14ac:dyDescent="0.25">
      <c r="A40" s="5" t="s">
        <v>28</v>
      </c>
      <c r="B40" s="5">
        <v>-1000000000</v>
      </c>
      <c r="C40" s="5">
        <v>1000000000</v>
      </c>
      <c r="D40" s="5"/>
      <c r="E40" s="5">
        <v>768</v>
      </c>
      <c r="F40" s="5">
        <v>1536</v>
      </c>
      <c r="G40" s="5">
        <v>384</v>
      </c>
      <c r="H40" s="5">
        <v>640</v>
      </c>
      <c r="I40" s="5">
        <v>576</v>
      </c>
      <c r="J40" s="5"/>
      <c r="K40" s="5"/>
      <c r="L40" s="5"/>
      <c r="M40" s="5"/>
      <c r="N40" s="5"/>
      <c r="O40" s="5"/>
      <c r="P40" s="5"/>
      <c r="Q40" s="7"/>
      <c r="S40" s="7" t="s">
        <v>2</v>
      </c>
    </row>
    <row r="41" spans="1:256" s="8" customFormat="1" x14ac:dyDescent="0.25">
      <c r="A41" s="5" t="s">
        <v>46</v>
      </c>
      <c r="B41" s="5">
        <v>-1000000000</v>
      </c>
      <c r="C41" s="5">
        <v>1000000000</v>
      </c>
      <c r="D41" s="5"/>
      <c r="E41" s="5">
        <v>24</v>
      </c>
      <c r="F41" s="5">
        <v>128</v>
      </c>
      <c r="G41" s="5">
        <v>152</v>
      </c>
      <c r="H41" s="5">
        <v>80</v>
      </c>
      <c r="I41" s="5"/>
      <c r="J41" s="5"/>
      <c r="K41" s="5"/>
      <c r="L41" s="5"/>
      <c r="M41" s="5"/>
      <c r="N41" s="5"/>
      <c r="O41" s="5"/>
      <c r="P41" s="5"/>
      <c r="Q41" s="7"/>
      <c r="S41" s="7" t="s">
        <v>2</v>
      </c>
    </row>
    <row r="42" spans="1:256" s="8" customFormat="1" x14ac:dyDescent="0.25">
      <c r="A42" s="5" t="s">
        <v>43</v>
      </c>
      <c r="B42" s="5">
        <v>-1000000000</v>
      </c>
      <c r="C42" s="5">
        <v>1000000000</v>
      </c>
      <c r="D42" s="5"/>
      <c r="E42" s="5">
        <v>0</v>
      </c>
      <c r="F42" s="5">
        <v>780</v>
      </c>
      <c r="G42" s="5">
        <v>960</v>
      </c>
      <c r="H42" s="5">
        <v>600</v>
      </c>
      <c r="I42" s="5"/>
      <c r="J42" s="5"/>
      <c r="K42" s="5"/>
      <c r="L42" s="5"/>
      <c r="M42" s="5"/>
      <c r="N42" s="5"/>
      <c r="O42" s="5"/>
      <c r="P42" s="5"/>
      <c r="Q42" s="7"/>
      <c r="S42" s="7" t="s">
        <v>2</v>
      </c>
    </row>
    <row r="43" spans="1:256" s="8" customFormat="1" x14ac:dyDescent="0.25">
      <c r="A43" s="5" t="s">
        <v>32</v>
      </c>
      <c r="B43" s="5">
        <v>-1000000000</v>
      </c>
      <c r="C43" s="5">
        <v>1000000000</v>
      </c>
      <c r="D43" s="5"/>
      <c r="E43" s="5">
        <v>0</v>
      </c>
      <c r="F43" s="5">
        <v>0</v>
      </c>
      <c r="G43" s="5">
        <v>4000</v>
      </c>
      <c r="H43" s="5">
        <v>-4000</v>
      </c>
      <c r="I43" s="5"/>
      <c r="J43" s="5"/>
      <c r="K43" s="5"/>
      <c r="L43" s="5"/>
      <c r="M43" s="5"/>
      <c r="N43" s="5"/>
      <c r="O43" s="5"/>
      <c r="P43" s="5"/>
      <c r="Q43" s="7"/>
      <c r="S43" s="7" t="s">
        <v>2</v>
      </c>
    </row>
    <row r="44" spans="1:256" s="8" customFormat="1" x14ac:dyDescent="0.25">
      <c r="A44" s="5" t="s">
        <v>35</v>
      </c>
      <c r="B44" s="5">
        <v>-1000000000</v>
      </c>
      <c r="C44" s="5">
        <v>1000000000</v>
      </c>
      <c r="D44" s="5"/>
      <c r="E44" s="5">
        <v>0</v>
      </c>
      <c r="F44" s="5">
        <v>0</v>
      </c>
      <c r="G44" s="5">
        <v>0</v>
      </c>
      <c r="H44" s="5">
        <v>0</v>
      </c>
      <c r="I44" s="5"/>
      <c r="J44" s="5"/>
      <c r="K44" s="5"/>
      <c r="L44" s="5"/>
      <c r="M44" s="5"/>
      <c r="N44" s="5"/>
      <c r="O44" s="5"/>
      <c r="P44" s="5"/>
      <c r="Q44" s="7"/>
      <c r="S44" s="7" t="s">
        <v>2</v>
      </c>
    </row>
    <row r="45" spans="1:256" s="7" customFormat="1" x14ac:dyDescent="0.25">
      <c r="A45" s="5" t="s">
        <v>33</v>
      </c>
      <c r="B45" s="5">
        <v>-1000000000</v>
      </c>
      <c r="C45" s="5">
        <v>1000000000</v>
      </c>
      <c r="D45" s="5"/>
      <c r="E45" s="5">
        <v>18000</v>
      </c>
      <c r="F45" s="5">
        <v>18000</v>
      </c>
      <c r="G45" s="5">
        <v>18000</v>
      </c>
      <c r="H45" s="5">
        <v>6000</v>
      </c>
      <c r="I45" s="5"/>
      <c r="J45" s="5"/>
      <c r="K45" s="5"/>
      <c r="L45" s="5"/>
      <c r="M45" s="5"/>
      <c r="N45" s="5"/>
      <c r="O45" s="5"/>
      <c r="P45" s="5"/>
      <c r="R45" s="8"/>
      <c r="S45" s="7" t="s">
        <v>2</v>
      </c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  <c r="IV45" s="8"/>
    </row>
    <row r="46" spans="1:256" s="12" customFormat="1" x14ac:dyDescent="0.25">
      <c r="A46" s="9" t="s">
        <v>21</v>
      </c>
      <c r="B46" s="9">
        <v>-1000000000</v>
      </c>
      <c r="C46" s="9">
        <v>1000000000</v>
      </c>
      <c r="D46" s="10"/>
      <c r="E46" s="9">
        <v>19000</v>
      </c>
      <c r="F46" s="9">
        <v>17500</v>
      </c>
      <c r="G46" s="9">
        <v>17500</v>
      </c>
      <c r="H46" s="9">
        <v>-17500</v>
      </c>
      <c r="I46" s="9"/>
      <c r="J46" s="9"/>
      <c r="K46" s="9"/>
      <c r="L46" s="9"/>
      <c r="M46" s="9"/>
      <c r="N46" s="9"/>
      <c r="O46" s="9"/>
      <c r="P46" s="9"/>
      <c r="Q46" s="11"/>
      <c r="S46" s="12" t="s">
        <v>2</v>
      </c>
    </row>
    <row r="47" spans="1:256" x14ac:dyDescent="0.25">
      <c r="Q47" s="2"/>
      <c r="S47" s="2" t="s">
        <v>2</v>
      </c>
    </row>
    <row r="48" spans="1:256" x14ac:dyDescent="0.25">
      <c r="A48" s="2" t="s">
        <v>2</v>
      </c>
      <c r="B48" s="2" t="s">
        <v>2</v>
      </c>
      <c r="C48" s="2" t="s">
        <v>2</v>
      </c>
      <c r="D48" s="2" t="s">
        <v>2</v>
      </c>
      <c r="E48" s="2" t="s">
        <v>2</v>
      </c>
      <c r="F48" s="2" t="s">
        <v>2</v>
      </c>
      <c r="G48" s="2" t="s">
        <v>2</v>
      </c>
      <c r="H48" s="2" t="s">
        <v>2</v>
      </c>
      <c r="I48" s="2" t="s">
        <v>2</v>
      </c>
      <c r="J48" s="2" t="s">
        <v>2</v>
      </c>
      <c r="K48" s="2" t="s">
        <v>2</v>
      </c>
      <c r="L48" s="2" t="s">
        <v>2</v>
      </c>
      <c r="M48" s="2" t="s">
        <v>2</v>
      </c>
      <c r="N48" s="2" t="s">
        <v>2</v>
      </c>
      <c r="O48" s="2" t="s">
        <v>2</v>
      </c>
      <c r="P48" s="2" t="s">
        <v>2</v>
      </c>
      <c r="Q48" s="2" t="s">
        <v>2</v>
      </c>
      <c r="R48" s="2" t="s">
        <v>2</v>
      </c>
      <c r="S48" s="2" t="s">
        <v>2</v>
      </c>
    </row>
    <row r="49" ht="15" customHeight="1" x14ac:dyDescent="0.25"/>
  </sheetData>
  <pageMargins left="0.78740157499999996" right="0.78740157499999996" top="0.984251969" bottom="0.984251969" header="0.4921259845" footer="0.492125984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BD54D-F98C-4490-B80E-5A49E7786AF2}">
  <dimension ref="A1:IV51"/>
  <sheetViews>
    <sheetView topLeftCell="A25" workbookViewId="0">
      <pane xSplit="1" topLeftCell="B1" activePane="topRight" state="frozenSplit"/>
      <selection activeCell="A95" sqref="A95"/>
      <selection pane="topRight"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17" x14ac:dyDescent="0.25">
      <c r="A1" s="1" t="s">
        <v>0</v>
      </c>
      <c r="B1" s="1" t="s">
        <v>48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ht="52.8" x14ac:dyDescent="0.25">
      <c r="A3" s="3" t="s">
        <v>3</v>
      </c>
      <c r="B3" s="3" t="s">
        <v>26</v>
      </c>
      <c r="C3" s="3" t="s">
        <v>27</v>
      </c>
      <c r="D3" s="3" t="s">
        <v>19</v>
      </c>
      <c r="E3" s="3" t="s">
        <v>19</v>
      </c>
      <c r="F3" s="3" t="s">
        <v>20</v>
      </c>
      <c r="G3" s="3" t="s">
        <v>20</v>
      </c>
      <c r="H3" s="3" t="s">
        <v>21</v>
      </c>
      <c r="I3" s="3" t="s">
        <v>21</v>
      </c>
      <c r="J3" s="3" t="s">
        <v>28</v>
      </c>
      <c r="K3" s="3" t="s">
        <v>29</v>
      </c>
      <c r="L3" s="3" t="s">
        <v>5</v>
      </c>
      <c r="M3" s="3" t="s">
        <v>5</v>
      </c>
      <c r="N3" s="3" t="s">
        <v>13</v>
      </c>
      <c r="Q3" s="2" t="s">
        <v>2</v>
      </c>
    </row>
    <row r="4" spans="1:17" x14ac:dyDescent="0.25">
      <c r="A4" s="3" t="s">
        <v>49</v>
      </c>
      <c r="B4" s="3">
        <v>1</v>
      </c>
      <c r="C4" s="3">
        <v>4</v>
      </c>
      <c r="D4" s="3">
        <v>-50</v>
      </c>
      <c r="E4" s="3">
        <f>-D4</f>
        <v>50</v>
      </c>
      <c r="F4" s="3">
        <v>10000</v>
      </c>
      <c r="G4" s="3">
        <f>-F4</f>
        <v>-10000</v>
      </c>
      <c r="H4" s="3">
        <v>10000</v>
      </c>
      <c r="I4" s="3">
        <f>-H4</f>
        <v>-10000</v>
      </c>
      <c r="J4" s="3">
        <f>0.02*3000*B4</f>
        <v>60</v>
      </c>
      <c r="K4" s="3">
        <f>0.02*2000*C4</f>
        <v>160</v>
      </c>
      <c r="L4" s="3">
        <f>-F4</f>
        <v>-10000</v>
      </c>
      <c r="M4" s="3">
        <f>-J4-K4</f>
        <v>-220</v>
      </c>
      <c r="N4" s="3">
        <f>F4</f>
        <v>10000</v>
      </c>
      <c r="Q4" s="2" t="s">
        <v>2</v>
      </c>
    </row>
    <row r="5" spans="1:17" x14ac:dyDescent="0.25">
      <c r="A5" s="3" t="s">
        <v>7</v>
      </c>
      <c r="B5" s="3">
        <v>0</v>
      </c>
      <c r="C5" s="3">
        <v>0</v>
      </c>
      <c r="D5" s="3">
        <v>0</v>
      </c>
      <c r="E5" s="3">
        <v>1</v>
      </c>
      <c r="F5" s="3">
        <v>0</v>
      </c>
      <c r="G5" s="3">
        <v>1</v>
      </c>
      <c r="H5" s="3">
        <v>0</v>
      </c>
      <c r="I5" s="3">
        <v>1</v>
      </c>
      <c r="J5" s="3">
        <v>1</v>
      </c>
      <c r="K5" s="3">
        <v>1</v>
      </c>
      <c r="L5" s="3">
        <v>0</v>
      </c>
      <c r="M5" s="3">
        <v>1</v>
      </c>
      <c r="N5" s="3">
        <v>0</v>
      </c>
      <c r="Q5" s="2" t="s">
        <v>2</v>
      </c>
    </row>
    <row r="6" spans="1:17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20</v>
      </c>
      <c r="N6" s="3">
        <v>0</v>
      </c>
      <c r="Q6" s="2" t="s">
        <v>2</v>
      </c>
    </row>
    <row r="7" spans="1:17" s="2" customFormat="1" x14ac:dyDescent="0.25">
      <c r="A7" s="14" t="s">
        <v>9</v>
      </c>
      <c r="B7" s="14" t="s">
        <v>48</v>
      </c>
      <c r="C7" s="14" t="s">
        <v>48</v>
      </c>
      <c r="D7" s="14" t="s">
        <v>48</v>
      </c>
      <c r="E7" s="14" t="s">
        <v>48</v>
      </c>
      <c r="F7" s="14" t="s">
        <v>48</v>
      </c>
      <c r="G7" s="14" t="s">
        <v>48</v>
      </c>
      <c r="H7" s="14" t="s">
        <v>48</v>
      </c>
      <c r="I7" s="14" t="s">
        <v>48</v>
      </c>
      <c r="J7" s="14" t="s">
        <v>48</v>
      </c>
      <c r="K7" s="14" t="s">
        <v>48</v>
      </c>
      <c r="L7" s="14" t="s">
        <v>1</v>
      </c>
      <c r="M7" s="14" t="s">
        <v>1</v>
      </c>
      <c r="N7" s="14" t="s">
        <v>1</v>
      </c>
      <c r="Q7" s="2" t="s">
        <v>2</v>
      </c>
    </row>
    <row r="8" spans="1:17" x14ac:dyDescent="0.25">
      <c r="Q8" s="2" t="s">
        <v>2</v>
      </c>
    </row>
    <row r="9" spans="1:17" ht="26.4" x14ac:dyDescent="0.25">
      <c r="A9" s="3" t="s">
        <v>3</v>
      </c>
      <c r="B9" s="3" t="s">
        <v>27</v>
      </c>
      <c r="C9" s="3" t="s">
        <v>50</v>
      </c>
      <c r="D9" s="3" t="s">
        <v>50</v>
      </c>
      <c r="E9" s="3" t="s">
        <v>29</v>
      </c>
      <c r="F9" s="3" t="s">
        <v>5</v>
      </c>
      <c r="G9" s="3" t="s">
        <v>5</v>
      </c>
      <c r="Q9" s="2" t="s">
        <v>2</v>
      </c>
    </row>
    <row r="10" spans="1:17" x14ac:dyDescent="0.25">
      <c r="A10" s="3" t="s">
        <v>50</v>
      </c>
      <c r="B10" s="3">
        <v>-1</v>
      </c>
      <c r="C10" s="3">
        <v>2000</v>
      </c>
      <c r="D10" s="3">
        <f>-C10</f>
        <v>-2000</v>
      </c>
      <c r="E10" s="3">
        <v>-40</v>
      </c>
      <c r="F10" s="3">
        <f>C10</f>
        <v>2000</v>
      </c>
      <c r="G10" s="3">
        <f>-E10</f>
        <v>40</v>
      </c>
      <c r="Q10" s="2" t="s">
        <v>2</v>
      </c>
    </row>
    <row r="11" spans="1:17" x14ac:dyDescent="0.25">
      <c r="A11" s="3" t="s">
        <v>7</v>
      </c>
      <c r="B11" s="3">
        <v>0</v>
      </c>
      <c r="C11" s="3">
        <v>0</v>
      </c>
      <c r="D11" s="3">
        <v>1</v>
      </c>
      <c r="E11" s="3">
        <v>1</v>
      </c>
      <c r="F11" s="3">
        <v>0</v>
      </c>
      <c r="G11" s="3">
        <v>1</v>
      </c>
      <c r="Q11" s="2" t="s">
        <v>2</v>
      </c>
    </row>
    <row r="12" spans="1:17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48</v>
      </c>
      <c r="C13" s="14" t="s">
        <v>48</v>
      </c>
      <c r="D13" s="14" t="s">
        <v>48</v>
      </c>
      <c r="E13" s="14" t="s">
        <v>48</v>
      </c>
      <c r="F13" s="14" t="s">
        <v>1</v>
      </c>
      <c r="G13" s="14" t="s">
        <v>1</v>
      </c>
      <c r="Q13" s="2" t="s">
        <v>2</v>
      </c>
    </row>
    <row r="14" spans="1:17" x14ac:dyDescent="0.25">
      <c r="Q14" s="2" t="s">
        <v>2</v>
      </c>
    </row>
    <row r="15" spans="1:17" ht="26.4" x14ac:dyDescent="0.25">
      <c r="A15" s="3" t="s">
        <v>3</v>
      </c>
      <c r="B15" s="3" t="s">
        <v>26</v>
      </c>
      <c r="C15" s="3" t="s">
        <v>51</v>
      </c>
      <c r="D15" s="3" t="s">
        <v>51</v>
      </c>
      <c r="E15" s="3" t="s">
        <v>28</v>
      </c>
      <c r="F15" s="3" t="s">
        <v>5</v>
      </c>
      <c r="G15" s="3" t="s">
        <v>5</v>
      </c>
      <c r="Q15" s="2" t="s">
        <v>2</v>
      </c>
    </row>
    <row r="16" spans="1:17" x14ac:dyDescent="0.25">
      <c r="A16" s="3" t="s">
        <v>51</v>
      </c>
      <c r="B16" s="3">
        <v>-1</v>
      </c>
      <c r="C16" s="3">
        <v>3000</v>
      </c>
      <c r="D16" s="3">
        <f>-C16</f>
        <v>-3000</v>
      </c>
      <c r="E16" s="3">
        <v>-60</v>
      </c>
      <c r="F16" s="3">
        <f>C16</f>
        <v>3000</v>
      </c>
      <c r="G16" s="3">
        <f>-E16</f>
        <v>60</v>
      </c>
      <c r="Q16" s="2" t="s">
        <v>2</v>
      </c>
    </row>
    <row r="17" spans="1:17" x14ac:dyDescent="0.25">
      <c r="A17" s="3" t="s">
        <v>7</v>
      </c>
      <c r="B17" s="3">
        <v>0</v>
      </c>
      <c r="C17" s="3">
        <v>0</v>
      </c>
      <c r="D17" s="3">
        <v>1</v>
      </c>
      <c r="E17" s="3">
        <v>1</v>
      </c>
      <c r="F17" s="3">
        <v>0</v>
      </c>
      <c r="G17" s="3">
        <v>1</v>
      </c>
      <c r="Q17" s="2" t="s">
        <v>2</v>
      </c>
    </row>
    <row r="18" spans="1:17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20</v>
      </c>
      <c r="Q18" s="2" t="s">
        <v>2</v>
      </c>
    </row>
    <row r="19" spans="1:17" s="2" customFormat="1" x14ac:dyDescent="0.25">
      <c r="A19" s="14" t="s">
        <v>9</v>
      </c>
      <c r="B19" s="14" t="s">
        <v>48</v>
      </c>
      <c r="C19" s="14" t="s">
        <v>48</v>
      </c>
      <c r="D19" s="14" t="s">
        <v>48</v>
      </c>
      <c r="E19" s="14" t="s">
        <v>48</v>
      </c>
      <c r="F19" s="14" t="s">
        <v>1</v>
      </c>
      <c r="G19" s="14" t="s">
        <v>1</v>
      </c>
      <c r="Q19" s="2" t="s">
        <v>2</v>
      </c>
    </row>
    <row r="20" spans="1:17" x14ac:dyDescent="0.25">
      <c r="Q20" s="2" t="s">
        <v>2</v>
      </c>
    </row>
    <row r="21" spans="1:17" ht="26.4" x14ac:dyDescent="0.25">
      <c r="A21" s="3" t="s">
        <v>3</v>
      </c>
      <c r="B21" s="3" t="s">
        <v>31</v>
      </c>
      <c r="C21" s="3" t="s">
        <v>19</v>
      </c>
      <c r="D21" s="3" t="s">
        <v>32</v>
      </c>
      <c r="E21" s="3" t="s">
        <v>32</v>
      </c>
      <c r="F21" s="3" t="s">
        <v>33</v>
      </c>
      <c r="G21" s="3" t="s">
        <v>5</v>
      </c>
      <c r="H21" s="3" t="s">
        <v>5</v>
      </c>
      <c r="Q21" s="2" t="s">
        <v>2</v>
      </c>
    </row>
    <row r="22" spans="1:17" x14ac:dyDescent="0.25">
      <c r="A22" s="3" t="s">
        <v>34</v>
      </c>
      <c r="B22" s="3">
        <v>1</v>
      </c>
      <c r="C22" s="3">
        <v>150</v>
      </c>
      <c r="D22" s="3">
        <v>2000</v>
      </c>
      <c r="E22" s="3">
        <f>-D22</f>
        <v>-2000</v>
      </c>
      <c r="F22" s="3">
        <v>3000</v>
      </c>
      <c r="G22" s="3">
        <f>-D22</f>
        <v>-2000</v>
      </c>
      <c r="H22" s="3">
        <f>-F22</f>
        <v>-3000</v>
      </c>
      <c r="Q22" s="2" t="s">
        <v>2</v>
      </c>
    </row>
    <row r="23" spans="1:17" x14ac:dyDescent="0.25">
      <c r="A23" s="3" t="s">
        <v>7</v>
      </c>
      <c r="B23" s="3">
        <v>0</v>
      </c>
      <c r="C23" s="3">
        <v>1</v>
      </c>
      <c r="D23" s="3">
        <v>0</v>
      </c>
      <c r="E23" s="3">
        <v>1</v>
      </c>
      <c r="F23" s="3">
        <v>1</v>
      </c>
      <c r="G23" s="3">
        <v>0</v>
      </c>
      <c r="H23" s="3">
        <v>1</v>
      </c>
      <c r="Q23" s="2" t="s">
        <v>2</v>
      </c>
    </row>
    <row r="24" spans="1:17" x14ac:dyDescent="0.25">
      <c r="A24" s="3" t="s">
        <v>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20</v>
      </c>
      <c r="Q24" s="2" t="s">
        <v>2</v>
      </c>
    </row>
    <row r="25" spans="1:17" s="2" customFormat="1" x14ac:dyDescent="0.25">
      <c r="A25" s="14" t="s">
        <v>9</v>
      </c>
      <c r="B25" s="14" t="s">
        <v>48</v>
      </c>
      <c r="C25" s="14" t="s">
        <v>48</v>
      </c>
      <c r="D25" s="14" t="s">
        <v>48</v>
      </c>
      <c r="E25" s="14" t="s">
        <v>48</v>
      </c>
      <c r="F25" s="14" t="s">
        <v>48</v>
      </c>
      <c r="G25" s="14" t="s">
        <v>1</v>
      </c>
      <c r="H25" s="14" t="s">
        <v>1</v>
      </c>
      <c r="Q25" s="2" t="s">
        <v>2</v>
      </c>
    </row>
    <row r="26" spans="1:17" x14ac:dyDescent="0.25">
      <c r="Q26" s="2" t="s">
        <v>2</v>
      </c>
    </row>
    <row r="27" spans="1:17" ht="26.4" x14ac:dyDescent="0.25">
      <c r="A27" s="3" t="s">
        <v>3</v>
      </c>
      <c r="B27" s="3" t="s">
        <v>31</v>
      </c>
      <c r="C27" s="3" t="s">
        <v>19</v>
      </c>
      <c r="D27" s="3" t="s">
        <v>35</v>
      </c>
      <c r="E27" s="3" t="s">
        <v>35</v>
      </c>
      <c r="F27" s="3" t="s">
        <v>33</v>
      </c>
      <c r="G27" s="3" t="s">
        <v>5</v>
      </c>
      <c r="H27" s="3" t="s">
        <v>5</v>
      </c>
      <c r="Q27" s="2" t="s">
        <v>2</v>
      </c>
    </row>
    <row r="28" spans="1:17" x14ac:dyDescent="0.25">
      <c r="A28" s="3" t="s">
        <v>36</v>
      </c>
      <c r="B28" s="3">
        <v>-1</v>
      </c>
      <c r="C28" s="3">
        <v>-150</v>
      </c>
      <c r="D28" s="3">
        <v>2000</v>
      </c>
      <c r="E28" s="3">
        <f>-D28</f>
        <v>-2000</v>
      </c>
      <c r="F28" s="3">
        <v>-3000</v>
      </c>
      <c r="G28" s="3">
        <f>-D28</f>
        <v>-2000</v>
      </c>
      <c r="H28" s="3">
        <f>-F28</f>
        <v>3000</v>
      </c>
      <c r="Q28" s="2" t="s">
        <v>2</v>
      </c>
    </row>
    <row r="29" spans="1:17" x14ac:dyDescent="0.25">
      <c r="A29" s="3" t="s">
        <v>7</v>
      </c>
      <c r="B29" s="3">
        <v>0</v>
      </c>
      <c r="C29" s="3">
        <v>1</v>
      </c>
      <c r="D29" s="3">
        <v>0</v>
      </c>
      <c r="E29" s="3">
        <v>1</v>
      </c>
      <c r="F29" s="3">
        <v>1</v>
      </c>
      <c r="G29" s="3">
        <v>0</v>
      </c>
      <c r="H29" s="3">
        <v>1</v>
      </c>
      <c r="Q29" s="2" t="s">
        <v>2</v>
      </c>
    </row>
    <row r="30" spans="1:17" x14ac:dyDescent="0.25">
      <c r="A30" s="3" t="s">
        <v>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20</v>
      </c>
      <c r="Q30" s="2" t="s">
        <v>2</v>
      </c>
    </row>
    <row r="31" spans="1:17" s="2" customFormat="1" x14ac:dyDescent="0.25">
      <c r="A31" s="14" t="s">
        <v>9</v>
      </c>
      <c r="B31" s="14" t="s">
        <v>48</v>
      </c>
      <c r="C31" s="14" t="s">
        <v>48</v>
      </c>
      <c r="D31" s="14" t="s">
        <v>48</v>
      </c>
      <c r="E31" s="14" t="s">
        <v>48</v>
      </c>
      <c r="F31" s="14" t="s">
        <v>48</v>
      </c>
      <c r="G31" s="14" t="s">
        <v>1</v>
      </c>
      <c r="H31" s="14" t="s">
        <v>1</v>
      </c>
      <c r="Q31" s="2" t="s">
        <v>2</v>
      </c>
    </row>
    <row r="32" spans="1:17" x14ac:dyDescent="0.25">
      <c r="Q32" s="2" t="s">
        <v>2</v>
      </c>
    </row>
    <row r="33" spans="1:17" x14ac:dyDescent="0.25">
      <c r="Q33" s="2" t="s">
        <v>2</v>
      </c>
    </row>
    <row r="34" spans="1:17" x14ac:dyDescent="0.25">
      <c r="Q34" s="2" t="s">
        <v>2</v>
      </c>
    </row>
    <row r="35" spans="1:17" x14ac:dyDescent="0.25">
      <c r="A35" s="17"/>
      <c r="Q35" s="2" t="s">
        <v>2</v>
      </c>
    </row>
    <row r="36" spans="1:17" x14ac:dyDescent="0.25">
      <c r="A36" s="3" t="s">
        <v>10</v>
      </c>
      <c r="B36" s="3" t="s">
        <v>11</v>
      </c>
      <c r="C36" s="3" t="s">
        <v>12</v>
      </c>
      <c r="D36" s="4">
        <v>0</v>
      </c>
      <c r="E36" s="4">
        <v>1</v>
      </c>
      <c r="F36" s="4">
        <v>2</v>
      </c>
      <c r="G36" s="4">
        <v>3</v>
      </c>
      <c r="H36" s="4">
        <v>4</v>
      </c>
      <c r="I36" s="4">
        <v>5</v>
      </c>
      <c r="J36" s="4">
        <v>6</v>
      </c>
      <c r="K36" s="4">
        <v>7</v>
      </c>
      <c r="L36" s="4">
        <v>8</v>
      </c>
      <c r="M36" s="4">
        <v>9</v>
      </c>
      <c r="N36" s="4">
        <v>10</v>
      </c>
      <c r="O36" s="4">
        <v>11</v>
      </c>
      <c r="P36" s="4">
        <v>12</v>
      </c>
      <c r="Q36" s="2" t="s">
        <v>2</v>
      </c>
    </row>
    <row r="37" spans="1:17" x14ac:dyDescent="0.25">
      <c r="A37" s="3" t="s">
        <v>26</v>
      </c>
      <c r="B37" s="3">
        <v>0</v>
      </c>
      <c r="C37" s="3">
        <v>90</v>
      </c>
      <c r="D37" s="3">
        <v>15</v>
      </c>
      <c r="E37" s="3">
        <v>15</v>
      </c>
      <c r="F37" s="3">
        <v>24</v>
      </c>
      <c r="G37" s="3">
        <v>24</v>
      </c>
      <c r="H37" s="3"/>
      <c r="I37" s="3"/>
      <c r="J37" s="3"/>
      <c r="K37" s="3"/>
      <c r="L37" s="3"/>
      <c r="M37" s="3"/>
      <c r="N37" s="3"/>
      <c r="O37" s="3"/>
      <c r="P37" s="3"/>
      <c r="Q37" s="2" t="s">
        <v>2</v>
      </c>
    </row>
    <row r="38" spans="1:17" x14ac:dyDescent="0.25">
      <c r="A38" s="3" t="s">
        <v>27</v>
      </c>
      <c r="B38" s="3">
        <v>0</v>
      </c>
      <c r="C38" s="3">
        <v>90</v>
      </c>
      <c r="D38" s="3">
        <v>60</v>
      </c>
      <c r="E38" s="3">
        <v>60</v>
      </c>
      <c r="F38" s="3">
        <v>96</v>
      </c>
      <c r="G38" s="3">
        <v>96</v>
      </c>
      <c r="H38" s="3"/>
      <c r="I38" s="3"/>
      <c r="J38" s="3"/>
      <c r="K38" s="3"/>
      <c r="L38" s="3"/>
      <c r="M38" s="3"/>
      <c r="N38" s="3"/>
      <c r="O38" s="3"/>
      <c r="P38" s="3"/>
      <c r="Q38" s="2" t="s">
        <v>2</v>
      </c>
    </row>
    <row r="39" spans="1:17" x14ac:dyDescent="0.25">
      <c r="A39" s="3" t="s">
        <v>31</v>
      </c>
      <c r="B39" s="3">
        <v>0</v>
      </c>
      <c r="C39" s="3">
        <v>20</v>
      </c>
      <c r="D39" s="3">
        <v>5</v>
      </c>
      <c r="E39" s="3">
        <v>8</v>
      </c>
      <c r="F39" s="3">
        <v>8</v>
      </c>
      <c r="G39" s="3">
        <v>8</v>
      </c>
      <c r="H39" s="3"/>
      <c r="I39" s="3"/>
      <c r="J39" s="3"/>
      <c r="K39" s="3"/>
      <c r="L39" s="3"/>
      <c r="M39" s="3"/>
      <c r="N39" s="3"/>
      <c r="O39" s="3"/>
      <c r="P39" s="3"/>
      <c r="Q39" s="2" t="s">
        <v>2</v>
      </c>
    </row>
    <row r="40" spans="1:17" s="16" customFormat="1" x14ac:dyDescent="0.25">
      <c r="A40" s="16" t="s">
        <v>19</v>
      </c>
      <c r="B40" s="16">
        <v>0</v>
      </c>
      <c r="C40" s="16">
        <v>1000000000</v>
      </c>
      <c r="D40" s="16">
        <v>750</v>
      </c>
      <c r="E40" s="16">
        <v>0</v>
      </c>
      <c r="F40" s="16">
        <v>0</v>
      </c>
      <c r="G40" s="16">
        <v>0</v>
      </c>
      <c r="H40" s="16">
        <v>1200</v>
      </c>
      <c r="Q40" s="16" t="s">
        <v>2</v>
      </c>
    </row>
    <row r="41" spans="1:17" s="8" customFormat="1" x14ac:dyDescent="0.25">
      <c r="A41" s="5" t="s">
        <v>50</v>
      </c>
      <c r="B41" s="5">
        <v>-1000000000</v>
      </c>
      <c r="C41" s="5">
        <v>1000000000</v>
      </c>
      <c r="D41" s="5"/>
      <c r="E41" s="5">
        <v>0</v>
      </c>
      <c r="F41" s="5">
        <v>0</v>
      </c>
      <c r="G41" s="5">
        <v>0</v>
      </c>
      <c r="H41" s="5">
        <v>0</v>
      </c>
      <c r="I41" s="5"/>
      <c r="J41" s="5"/>
      <c r="K41" s="5"/>
      <c r="L41" s="5"/>
      <c r="M41" s="5"/>
      <c r="N41" s="5"/>
      <c r="O41" s="5"/>
      <c r="P41" s="5"/>
      <c r="Q41" s="7" t="s">
        <v>2</v>
      </c>
    </row>
    <row r="42" spans="1:17" s="8" customFormat="1" x14ac:dyDescent="0.25">
      <c r="A42" s="5" t="s">
        <v>51</v>
      </c>
      <c r="B42" s="5">
        <v>-1000000000</v>
      </c>
      <c r="C42" s="5">
        <v>1000000000</v>
      </c>
      <c r="D42" s="5"/>
      <c r="E42" s="5">
        <v>0</v>
      </c>
      <c r="F42" s="5">
        <v>0</v>
      </c>
      <c r="G42" s="5">
        <v>0</v>
      </c>
      <c r="H42" s="5">
        <v>0</v>
      </c>
      <c r="I42" s="5"/>
      <c r="J42" s="5"/>
      <c r="K42" s="5"/>
      <c r="L42" s="5"/>
      <c r="M42" s="5"/>
      <c r="N42" s="5"/>
      <c r="O42" s="5"/>
      <c r="P42" s="5"/>
      <c r="Q42" s="7" t="s">
        <v>2</v>
      </c>
    </row>
    <row r="43" spans="1:17" s="8" customFormat="1" x14ac:dyDescent="0.25">
      <c r="A43" s="5" t="s">
        <v>20</v>
      </c>
      <c r="B43" s="5">
        <v>-1000000000</v>
      </c>
      <c r="C43" s="5">
        <v>1000000000</v>
      </c>
      <c r="D43" s="5"/>
      <c r="E43" s="5">
        <v>150000</v>
      </c>
      <c r="F43" s="5">
        <v>240000</v>
      </c>
      <c r="G43" s="5">
        <v>240000</v>
      </c>
      <c r="H43" s="5">
        <v>-240000</v>
      </c>
      <c r="I43" s="5"/>
      <c r="J43" s="5"/>
      <c r="K43" s="5"/>
      <c r="L43" s="5"/>
      <c r="M43" s="5"/>
      <c r="N43" s="5"/>
      <c r="O43" s="5"/>
      <c r="P43" s="5"/>
      <c r="Q43" s="7" t="s">
        <v>2</v>
      </c>
    </row>
    <row r="44" spans="1:17" s="8" customFormat="1" x14ac:dyDescent="0.25">
      <c r="A44" s="5" t="s">
        <v>28</v>
      </c>
      <c r="B44" s="5">
        <v>-1000000000</v>
      </c>
      <c r="C44" s="5">
        <v>1000000000</v>
      </c>
      <c r="D44" s="5"/>
      <c r="E44" s="5">
        <v>0</v>
      </c>
      <c r="F44" s="5">
        <v>0</v>
      </c>
      <c r="G44" s="5">
        <v>0</v>
      </c>
      <c r="H44" s="5">
        <v>1440</v>
      </c>
      <c r="I44" s="5"/>
      <c r="J44" s="5"/>
      <c r="K44" s="5"/>
      <c r="L44" s="5"/>
      <c r="M44" s="5"/>
      <c r="N44" s="5"/>
      <c r="O44" s="5"/>
      <c r="P44" s="5"/>
      <c r="Q44" s="7" t="s">
        <v>2</v>
      </c>
    </row>
    <row r="45" spans="1:17" s="8" customFormat="1" x14ac:dyDescent="0.25">
      <c r="A45" s="5" t="s">
        <v>29</v>
      </c>
      <c r="B45" s="5">
        <v>-1000000000</v>
      </c>
      <c r="C45" s="5">
        <v>1000000000</v>
      </c>
      <c r="D45" s="5"/>
      <c r="E45" s="5">
        <v>0</v>
      </c>
      <c r="F45" s="5">
        <v>0</v>
      </c>
      <c r="G45" s="5">
        <v>0</v>
      </c>
      <c r="H45" s="5">
        <v>3840</v>
      </c>
      <c r="I45" s="5"/>
      <c r="J45" s="5"/>
      <c r="K45" s="5"/>
      <c r="L45" s="5"/>
      <c r="M45" s="5"/>
      <c r="N45" s="5"/>
      <c r="O45" s="5"/>
      <c r="P45" s="5"/>
      <c r="Q45" s="7" t="s">
        <v>2</v>
      </c>
    </row>
    <row r="46" spans="1:17" s="8" customFormat="1" x14ac:dyDescent="0.25">
      <c r="A46" s="5" t="s">
        <v>32</v>
      </c>
      <c r="B46" s="5">
        <v>-1000000000</v>
      </c>
      <c r="C46" s="5">
        <v>1000000000</v>
      </c>
      <c r="D46" s="5"/>
      <c r="E46" s="5">
        <v>6000</v>
      </c>
      <c r="F46" s="5">
        <v>0</v>
      </c>
      <c r="G46" s="5">
        <v>0</v>
      </c>
      <c r="H46" s="5">
        <v>0</v>
      </c>
      <c r="I46" s="5"/>
      <c r="J46" s="5"/>
      <c r="K46" s="5"/>
      <c r="L46" s="5"/>
      <c r="M46" s="5"/>
      <c r="N46" s="5"/>
      <c r="O46" s="5"/>
      <c r="P46" s="5"/>
      <c r="Q46" s="7" t="s">
        <v>2</v>
      </c>
    </row>
    <row r="47" spans="1:17" s="8" customFormat="1" x14ac:dyDescent="0.25">
      <c r="A47" s="5" t="s">
        <v>35</v>
      </c>
      <c r="B47" s="5">
        <v>-1000000000</v>
      </c>
      <c r="C47" s="5">
        <v>1000000000</v>
      </c>
      <c r="D47" s="5"/>
      <c r="E47" s="5">
        <v>0</v>
      </c>
      <c r="F47" s="5">
        <v>0</v>
      </c>
      <c r="G47" s="5">
        <v>0</v>
      </c>
      <c r="H47" s="5">
        <v>0</v>
      </c>
      <c r="I47" s="5"/>
      <c r="J47" s="5"/>
      <c r="K47" s="5"/>
      <c r="L47" s="5"/>
      <c r="M47" s="5"/>
      <c r="N47" s="5"/>
      <c r="O47" s="5"/>
      <c r="P47" s="5"/>
      <c r="Q47" s="7" t="s">
        <v>2</v>
      </c>
    </row>
    <row r="48" spans="1:17" s="8" customFormat="1" x14ac:dyDescent="0.25">
      <c r="A48" s="5" t="s">
        <v>33</v>
      </c>
      <c r="B48" s="5">
        <v>-1000000000</v>
      </c>
      <c r="C48" s="5">
        <v>1000000000</v>
      </c>
      <c r="D48" s="5"/>
      <c r="E48" s="5">
        <v>15000</v>
      </c>
      <c r="F48" s="5">
        <v>24000</v>
      </c>
      <c r="G48" s="5">
        <v>24000</v>
      </c>
      <c r="H48" s="5">
        <v>0</v>
      </c>
      <c r="I48" s="5"/>
      <c r="J48" s="5"/>
      <c r="K48" s="5"/>
      <c r="L48" s="5"/>
      <c r="M48" s="5"/>
      <c r="N48" s="5"/>
      <c r="O48" s="5"/>
      <c r="P48" s="5"/>
      <c r="Q48" s="7" t="s">
        <v>2</v>
      </c>
    </row>
    <row r="49" spans="1:256" s="12" customFormat="1" x14ac:dyDescent="0.25">
      <c r="A49" s="9" t="s">
        <v>21</v>
      </c>
      <c r="B49" s="9">
        <v>-1000000000</v>
      </c>
      <c r="C49" s="9">
        <v>1000000000</v>
      </c>
      <c r="D49" s="10"/>
      <c r="E49" s="9">
        <v>150000</v>
      </c>
      <c r="F49" s="9">
        <v>240000</v>
      </c>
      <c r="G49" s="9">
        <v>240000</v>
      </c>
      <c r="H49" s="9">
        <v>-240000</v>
      </c>
      <c r="I49" s="9"/>
      <c r="J49" s="9"/>
      <c r="K49" s="9"/>
      <c r="L49" s="9"/>
      <c r="M49" s="9"/>
      <c r="N49" s="9"/>
      <c r="O49" s="9"/>
      <c r="P49" s="9"/>
      <c r="Q49" s="11" t="s">
        <v>2</v>
      </c>
    </row>
    <row r="50" spans="1:256" x14ac:dyDescent="0.25">
      <c r="B50" s="13"/>
      <c r="C50" s="13"/>
      <c r="Q50" s="2" t="s">
        <v>2</v>
      </c>
    </row>
    <row r="51" spans="1:256" s="2" customFormat="1" x14ac:dyDescent="0.25">
      <c r="A51" s="2" t="s">
        <v>2</v>
      </c>
      <c r="B51" s="2" t="s">
        <v>2</v>
      </c>
      <c r="C51" s="2" t="s">
        <v>2</v>
      </c>
      <c r="D51" s="2" t="s">
        <v>2</v>
      </c>
      <c r="E51" s="2" t="s">
        <v>2</v>
      </c>
      <c r="F51" s="2" t="s">
        <v>2</v>
      </c>
      <c r="G51" s="2" t="s">
        <v>2</v>
      </c>
      <c r="H51" s="2" t="s">
        <v>2</v>
      </c>
      <c r="I51" s="2" t="s">
        <v>2</v>
      </c>
      <c r="J51" s="2" t="s">
        <v>2</v>
      </c>
      <c r="K51" s="2" t="s">
        <v>2</v>
      </c>
      <c r="L51" s="2" t="s">
        <v>2</v>
      </c>
      <c r="M51" s="2" t="s">
        <v>2</v>
      </c>
      <c r="N51" s="2" t="s">
        <v>2</v>
      </c>
      <c r="O51" s="2" t="s">
        <v>2</v>
      </c>
      <c r="P51" s="2" t="s">
        <v>2</v>
      </c>
      <c r="Q51" s="2" t="s">
        <v>2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</row>
  </sheetData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A9611-B668-4A92-A364-5CF8CE8FC919}">
  <dimension ref="A1:IV44"/>
  <sheetViews>
    <sheetView workbookViewId="0">
      <pane xSplit="1" topLeftCell="B1" activePane="topRight" state="frozenSplit"/>
      <selection activeCell="A95" sqref="A95"/>
      <selection pane="topRight"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9" width="11.6640625" style="1" customWidth="1"/>
    <col min="10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17" x14ac:dyDescent="0.25">
      <c r="A1" s="1" t="s">
        <v>0</v>
      </c>
      <c r="B1" s="1" t="s">
        <v>52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ht="39.6" x14ac:dyDescent="0.25">
      <c r="A3" s="3" t="s">
        <v>3</v>
      </c>
      <c r="B3" s="3" t="s">
        <v>53</v>
      </c>
      <c r="C3" s="3" t="s">
        <v>53</v>
      </c>
      <c r="D3" s="3" t="s">
        <v>19</v>
      </c>
      <c r="E3" s="3" t="s">
        <v>19</v>
      </c>
      <c r="F3" s="3" t="s">
        <v>54</v>
      </c>
      <c r="G3" s="3" t="s">
        <v>54</v>
      </c>
      <c r="H3" s="3" t="s">
        <v>21</v>
      </c>
      <c r="I3" s="3" t="s">
        <v>21</v>
      </c>
      <c r="J3" s="3" t="s">
        <v>5</v>
      </c>
      <c r="K3" s="3" t="s">
        <v>13</v>
      </c>
      <c r="Q3" s="2" t="s">
        <v>2</v>
      </c>
    </row>
    <row r="4" spans="1:17" x14ac:dyDescent="0.25">
      <c r="A4" s="3" t="s">
        <v>55</v>
      </c>
      <c r="B4" s="3">
        <v>1</v>
      </c>
      <c r="C4" s="3">
        <v>-1</v>
      </c>
      <c r="D4" s="3">
        <f>-B4/60</f>
        <v>-1.6666666666666666E-2</v>
      </c>
      <c r="E4" s="3">
        <f>-D4</f>
        <v>1.6666666666666666E-2</v>
      </c>
      <c r="F4" s="3">
        <v>2.5</v>
      </c>
      <c r="G4" s="3">
        <f>-F4</f>
        <v>-2.5</v>
      </c>
      <c r="H4" s="3">
        <v>0.92</v>
      </c>
      <c r="I4" s="3">
        <f>-H4</f>
        <v>-0.92</v>
      </c>
      <c r="J4" s="3">
        <f>-F4</f>
        <v>-2.5</v>
      </c>
      <c r="K4" s="3">
        <f>H4</f>
        <v>0.92</v>
      </c>
      <c r="Q4" s="2" t="s">
        <v>2</v>
      </c>
    </row>
    <row r="5" spans="1:17" x14ac:dyDescent="0.25">
      <c r="A5" s="3" t="s">
        <v>7</v>
      </c>
      <c r="B5" s="3">
        <v>0</v>
      </c>
      <c r="C5" s="3">
        <v>1</v>
      </c>
      <c r="D5" s="3">
        <v>0</v>
      </c>
      <c r="E5" s="3">
        <v>1</v>
      </c>
      <c r="F5" s="3">
        <v>0</v>
      </c>
      <c r="G5" s="3">
        <v>1</v>
      </c>
      <c r="H5" s="3">
        <v>0</v>
      </c>
      <c r="I5" s="3">
        <v>1</v>
      </c>
      <c r="J5" s="3">
        <v>0</v>
      </c>
      <c r="K5" s="3">
        <v>0</v>
      </c>
      <c r="Q5" s="2" t="s">
        <v>2</v>
      </c>
    </row>
    <row r="6" spans="1:17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Q6" s="2" t="s">
        <v>2</v>
      </c>
    </row>
    <row r="7" spans="1:17" s="2" customFormat="1" x14ac:dyDescent="0.25">
      <c r="A7" s="14" t="s">
        <v>9</v>
      </c>
      <c r="B7" s="14" t="s">
        <v>52</v>
      </c>
      <c r="C7" s="14" t="s">
        <v>52</v>
      </c>
      <c r="D7" s="14" t="s">
        <v>52</v>
      </c>
      <c r="E7" s="14" t="s">
        <v>52</v>
      </c>
      <c r="F7" s="14" t="s">
        <v>52</v>
      </c>
      <c r="G7" s="14" t="s">
        <v>52</v>
      </c>
      <c r="H7" s="14" t="s">
        <v>52</v>
      </c>
      <c r="I7" s="14" t="s">
        <v>52</v>
      </c>
      <c r="J7" s="14" t="s">
        <v>1</v>
      </c>
      <c r="K7" s="14" t="s">
        <v>1</v>
      </c>
      <c r="N7" s="1"/>
      <c r="Q7" s="2" t="s">
        <v>2</v>
      </c>
    </row>
    <row r="8" spans="1:17" x14ac:dyDescent="0.25">
      <c r="Q8" s="2" t="s">
        <v>2</v>
      </c>
    </row>
    <row r="9" spans="1:17" ht="52.8" x14ac:dyDescent="0.25">
      <c r="A9" s="3" t="s">
        <v>3</v>
      </c>
      <c r="B9" s="3" t="s">
        <v>16</v>
      </c>
      <c r="C9" s="3" t="s">
        <v>16</v>
      </c>
      <c r="D9" s="3" t="s">
        <v>56</v>
      </c>
      <c r="E9" s="3" t="s">
        <v>57</v>
      </c>
      <c r="F9" s="3" t="s">
        <v>19</v>
      </c>
      <c r="G9" s="3" t="s">
        <v>19</v>
      </c>
      <c r="H9" s="3" t="s">
        <v>22</v>
      </c>
      <c r="I9" s="3" t="s">
        <v>5</v>
      </c>
      <c r="Q9" s="2" t="s">
        <v>2</v>
      </c>
    </row>
    <row r="10" spans="1:17" x14ac:dyDescent="0.25">
      <c r="A10" s="3" t="s">
        <v>58</v>
      </c>
      <c r="B10" s="3">
        <v>1</v>
      </c>
      <c r="C10" s="3">
        <f>-B10</f>
        <v>-1</v>
      </c>
      <c r="D10" s="3">
        <f>B10</f>
        <v>1</v>
      </c>
      <c r="E10" s="3">
        <f>0.35*B10</f>
        <v>0.35</v>
      </c>
      <c r="F10" s="3">
        <v>-0.03</v>
      </c>
      <c r="G10" s="3">
        <f>-F10</f>
        <v>0.03</v>
      </c>
      <c r="H10" s="3">
        <f>-12*B10</f>
        <v>-12</v>
      </c>
      <c r="I10" s="3">
        <f>-H10</f>
        <v>12</v>
      </c>
      <c r="Q10" s="2" t="s">
        <v>2</v>
      </c>
    </row>
    <row r="11" spans="1:17" x14ac:dyDescent="0.25">
      <c r="A11" s="3" t="s">
        <v>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</v>
      </c>
      <c r="H11" s="3">
        <v>0</v>
      </c>
      <c r="I11" s="3">
        <v>0</v>
      </c>
      <c r="Q11" s="2" t="s">
        <v>2</v>
      </c>
    </row>
    <row r="12" spans="1:17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52</v>
      </c>
      <c r="C13" s="14" t="s">
        <v>59</v>
      </c>
      <c r="D13" s="14" t="s">
        <v>52</v>
      </c>
      <c r="E13" s="14" t="s">
        <v>52</v>
      </c>
      <c r="F13" s="14" t="s">
        <v>52</v>
      </c>
      <c r="G13" s="14" t="s">
        <v>52</v>
      </c>
      <c r="H13" s="14" t="s">
        <v>59</v>
      </c>
      <c r="I13" s="14" t="s">
        <v>1</v>
      </c>
      <c r="N13" s="1"/>
      <c r="Q13" s="2" t="s">
        <v>2</v>
      </c>
    </row>
    <row r="14" spans="1:17" x14ac:dyDescent="0.25">
      <c r="Q14" s="2" t="s">
        <v>2</v>
      </c>
    </row>
    <row r="15" spans="1:17" ht="52.8" x14ac:dyDescent="0.25">
      <c r="A15" s="3" t="s">
        <v>3</v>
      </c>
      <c r="B15" s="3" t="s">
        <v>37</v>
      </c>
      <c r="C15" s="3" t="s">
        <v>37</v>
      </c>
      <c r="D15" s="3" t="s">
        <v>56</v>
      </c>
      <c r="E15" s="3" t="s">
        <v>57</v>
      </c>
      <c r="F15" s="3" t="s">
        <v>19</v>
      </c>
      <c r="G15" s="3" t="s">
        <v>19</v>
      </c>
      <c r="H15" s="3" t="s">
        <v>38</v>
      </c>
      <c r="I15" s="3" t="s">
        <v>5</v>
      </c>
      <c r="Q15" s="2" t="s">
        <v>2</v>
      </c>
    </row>
    <row r="16" spans="1:17" x14ac:dyDescent="0.25">
      <c r="A16" s="3" t="s">
        <v>60</v>
      </c>
      <c r="B16" s="3">
        <v>1</v>
      </c>
      <c r="C16" s="3">
        <f>-B16</f>
        <v>-1</v>
      </c>
      <c r="D16" s="3">
        <f>B16</f>
        <v>1</v>
      </c>
      <c r="E16" s="3">
        <v>0.5</v>
      </c>
      <c r="F16" s="3">
        <v>-0.03</v>
      </c>
      <c r="G16" s="3">
        <f>-F16</f>
        <v>0.03</v>
      </c>
      <c r="H16" s="3">
        <f>-19*B16</f>
        <v>-19</v>
      </c>
      <c r="I16" s="3">
        <f>-H16</f>
        <v>19</v>
      </c>
      <c r="Q16" s="2" t="s">
        <v>2</v>
      </c>
    </row>
    <row r="17" spans="1:17" x14ac:dyDescent="0.25">
      <c r="A17" s="3" t="s">
        <v>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</v>
      </c>
      <c r="H17" s="3">
        <v>0</v>
      </c>
      <c r="I17" s="3">
        <v>0</v>
      </c>
      <c r="Q17" s="2" t="s">
        <v>2</v>
      </c>
    </row>
    <row r="18" spans="1:17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20</v>
      </c>
      <c r="Q18" s="2" t="s">
        <v>2</v>
      </c>
    </row>
    <row r="19" spans="1:17" x14ac:dyDescent="0.25">
      <c r="A19" s="14" t="s">
        <v>9</v>
      </c>
      <c r="B19" s="14" t="s">
        <v>52</v>
      </c>
      <c r="C19" s="14" t="s">
        <v>59</v>
      </c>
      <c r="D19" s="14" t="s">
        <v>52</v>
      </c>
      <c r="E19" s="14" t="s">
        <v>52</v>
      </c>
      <c r="F19" s="14" t="s">
        <v>52</v>
      </c>
      <c r="G19" s="14" t="s">
        <v>52</v>
      </c>
      <c r="H19" s="14" t="s">
        <v>59</v>
      </c>
      <c r="I19" s="14" t="s">
        <v>1</v>
      </c>
      <c r="Q19" s="2" t="s">
        <v>2</v>
      </c>
    </row>
    <row r="20" spans="1:17" x14ac:dyDescent="0.25">
      <c r="Q20" s="2" t="s">
        <v>2</v>
      </c>
    </row>
    <row r="21" spans="1:17" ht="52.8" x14ac:dyDescent="0.25">
      <c r="A21" s="3" t="s">
        <v>3</v>
      </c>
      <c r="B21" s="3" t="s">
        <v>16</v>
      </c>
      <c r="C21" s="3" t="s">
        <v>16</v>
      </c>
      <c r="D21" s="3" t="s">
        <v>56</v>
      </c>
      <c r="E21" s="3" t="s">
        <v>57</v>
      </c>
      <c r="F21" s="3" t="s">
        <v>19</v>
      </c>
      <c r="G21" s="3" t="s">
        <v>19</v>
      </c>
      <c r="H21" s="3" t="s">
        <v>22</v>
      </c>
      <c r="I21" s="3" t="s">
        <v>5</v>
      </c>
      <c r="Q21" s="2" t="s">
        <v>2</v>
      </c>
    </row>
    <row r="22" spans="1:17" x14ac:dyDescent="0.25">
      <c r="A22" s="3" t="s">
        <v>61</v>
      </c>
      <c r="B22" s="3">
        <v>-1</v>
      </c>
      <c r="C22" s="3">
        <f>-B22</f>
        <v>1</v>
      </c>
      <c r="D22" s="3">
        <f>B22</f>
        <v>-1</v>
      </c>
      <c r="E22" s="3">
        <f>0.35*B22</f>
        <v>-0.35</v>
      </c>
      <c r="F22" s="3">
        <v>-0.03</v>
      </c>
      <c r="G22" s="3">
        <f>-F22</f>
        <v>0.03</v>
      </c>
      <c r="H22" s="3">
        <f>-12*B22</f>
        <v>12</v>
      </c>
      <c r="I22" s="3">
        <f>-H22</f>
        <v>-12</v>
      </c>
      <c r="Q22" s="2" t="s">
        <v>2</v>
      </c>
    </row>
    <row r="23" spans="1:17" x14ac:dyDescent="0.25">
      <c r="A23" s="3" t="s">
        <v>7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</v>
      </c>
      <c r="H23" s="3">
        <v>0</v>
      </c>
      <c r="I23" s="3">
        <v>0</v>
      </c>
      <c r="Q23" s="2" t="s">
        <v>2</v>
      </c>
    </row>
    <row r="24" spans="1:17" x14ac:dyDescent="0.25">
      <c r="A24" s="3" t="s">
        <v>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20</v>
      </c>
      <c r="Q24" s="2" t="s">
        <v>2</v>
      </c>
    </row>
    <row r="25" spans="1:17" x14ac:dyDescent="0.25">
      <c r="A25" s="14" t="s">
        <v>9</v>
      </c>
      <c r="B25" s="14" t="s">
        <v>52</v>
      </c>
      <c r="C25" s="14" t="s">
        <v>59</v>
      </c>
      <c r="D25" s="14" t="s">
        <v>52</v>
      </c>
      <c r="E25" s="14" t="s">
        <v>52</v>
      </c>
      <c r="F25" s="14" t="s">
        <v>52</v>
      </c>
      <c r="G25" s="14" t="s">
        <v>52</v>
      </c>
      <c r="H25" s="14" t="s">
        <v>59</v>
      </c>
      <c r="I25" s="14" t="s">
        <v>1</v>
      </c>
      <c r="Q25" s="2" t="s">
        <v>2</v>
      </c>
    </row>
    <row r="26" spans="1:17" x14ac:dyDescent="0.25">
      <c r="Q26" s="2" t="s">
        <v>2</v>
      </c>
    </row>
    <row r="27" spans="1:17" ht="52.8" x14ac:dyDescent="0.25">
      <c r="A27" s="3" t="s">
        <v>3</v>
      </c>
      <c r="B27" s="3" t="s">
        <v>37</v>
      </c>
      <c r="C27" s="3" t="s">
        <v>37</v>
      </c>
      <c r="D27" s="3" t="s">
        <v>56</v>
      </c>
      <c r="E27" s="3" t="s">
        <v>57</v>
      </c>
      <c r="F27" s="3" t="s">
        <v>19</v>
      </c>
      <c r="G27" s="3" t="s">
        <v>19</v>
      </c>
      <c r="H27" s="3" t="s">
        <v>38</v>
      </c>
      <c r="I27" s="3" t="s">
        <v>5</v>
      </c>
      <c r="Q27" s="2" t="s">
        <v>2</v>
      </c>
    </row>
    <row r="28" spans="1:17" x14ac:dyDescent="0.25">
      <c r="A28" s="3" t="s">
        <v>62</v>
      </c>
      <c r="B28" s="3">
        <v>-1</v>
      </c>
      <c r="C28" s="3">
        <f>-B28</f>
        <v>1</v>
      </c>
      <c r="D28" s="3">
        <f>B28</f>
        <v>-1</v>
      </c>
      <c r="E28" s="3">
        <v>-0.5</v>
      </c>
      <c r="F28" s="3">
        <v>-0.03</v>
      </c>
      <c r="G28" s="3">
        <f>-F28</f>
        <v>0.03</v>
      </c>
      <c r="H28" s="3">
        <f>-19*B28</f>
        <v>19</v>
      </c>
      <c r="I28" s="3">
        <f>-H28</f>
        <v>-19</v>
      </c>
      <c r="Q28" s="2" t="s">
        <v>2</v>
      </c>
    </row>
    <row r="29" spans="1:17" x14ac:dyDescent="0.25">
      <c r="A29" s="3" t="s">
        <v>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1</v>
      </c>
      <c r="H29" s="3">
        <v>0</v>
      </c>
      <c r="I29" s="3">
        <v>0</v>
      </c>
      <c r="Q29" s="2" t="s">
        <v>2</v>
      </c>
    </row>
    <row r="30" spans="1:17" x14ac:dyDescent="0.25">
      <c r="A30" s="3" t="s">
        <v>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20</v>
      </c>
      <c r="Q30" s="2" t="s">
        <v>2</v>
      </c>
    </row>
    <row r="31" spans="1:17" x14ac:dyDescent="0.25">
      <c r="A31" s="14" t="s">
        <v>9</v>
      </c>
      <c r="B31" s="14" t="s">
        <v>52</v>
      </c>
      <c r="C31" s="14" t="s">
        <v>59</v>
      </c>
      <c r="D31" s="14" t="s">
        <v>52</v>
      </c>
      <c r="E31" s="14" t="s">
        <v>52</v>
      </c>
      <c r="F31" s="14" t="s">
        <v>52</v>
      </c>
      <c r="G31" s="14" t="s">
        <v>52</v>
      </c>
      <c r="H31" s="14" t="s">
        <v>59</v>
      </c>
      <c r="I31" s="14" t="s">
        <v>1</v>
      </c>
      <c r="Q31" s="2" t="s">
        <v>2</v>
      </c>
    </row>
    <row r="32" spans="1:17" x14ac:dyDescent="0.25">
      <c r="Q32" s="2" t="s">
        <v>2</v>
      </c>
    </row>
    <row r="33" spans="1:256" x14ac:dyDescent="0.25">
      <c r="A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2" t="s">
        <v>2</v>
      </c>
    </row>
    <row r="34" spans="1:256" x14ac:dyDescent="0.25">
      <c r="A34" s="3" t="s">
        <v>10</v>
      </c>
      <c r="B34" s="3" t="s">
        <v>11</v>
      </c>
      <c r="C34" s="3" t="s">
        <v>12</v>
      </c>
      <c r="D34" s="4">
        <v>0</v>
      </c>
      <c r="E34" s="4">
        <v>1</v>
      </c>
      <c r="F34" s="4">
        <v>2</v>
      </c>
      <c r="G34" s="4">
        <v>3</v>
      </c>
      <c r="H34" s="4">
        <v>4</v>
      </c>
      <c r="I34" s="4">
        <v>5</v>
      </c>
      <c r="J34" s="4">
        <v>6</v>
      </c>
      <c r="K34" s="4">
        <v>7</v>
      </c>
      <c r="L34" s="4">
        <v>8</v>
      </c>
      <c r="M34" s="4">
        <v>9</v>
      </c>
      <c r="N34" s="4">
        <v>10</v>
      </c>
      <c r="O34" s="4">
        <v>11</v>
      </c>
      <c r="P34" s="4">
        <v>12</v>
      </c>
      <c r="Q34" s="2" t="s">
        <v>2</v>
      </c>
    </row>
    <row r="35" spans="1:256" x14ac:dyDescent="0.25">
      <c r="A35" s="3" t="s">
        <v>16</v>
      </c>
      <c r="B35" s="3">
        <v>0</v>
      </c>
      <c r="C35" s="3">
        <v>1000000000</v>
      </c>
      <c r="D35" s="4"/>
      <c r="E35" s="4">
        <v>0</v>
      </c>
      <c r="F35" s="4">
        <v>0</v>
      </c>
      <c r="G35" s="4">
        <v>0</v>
      </c>
      <c r="H35" s="4"/>
      <c r="I35" s="4"/>
      <c r="J35" s="4"/>
      <c r="K35" s="4"/>
      <c r="L35" s="4"/>
      <c r="M35" s="4"/>
      <c r="N35" s="4"/>
      <c r="O35" s="4"/>
      <c r="P35" s="4"/>
      <c r="Q35" s="2" t="s">
        <v>2</v>
      </c>
    </row>
    <row r="36" spans="1:256" x14ac:dyDescent="0.25">
      <c r="A36" s="3" t="s">
        <v>37</v>
      </c>
      <c r="B36" s="3">
        <v>0</v>
      </c>
      <c r="C36" s="3">
        <v>1000000000</v>
      </c>
      <c r="D36" s="3"/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2" t="s">
        <v>2</v>
      </c>
    </row>
    <row r="37" spans="1:256" x14ac:dyDescent="0.25">
      <c r="A37" s="3" t="s">
        <v>56</v>
      </c>
      <c r="B37" s="3">
        <v>0</v>
      </c>
      <c r="C37" s="3">
        <v>66</v>
      </c>
      <c r="D37" s="3"/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2" t="s">
        <v>2</v>
      </c>
    </row>
    <row r="38" spans="1:256" x14ac:dyDescent="0.25">
      <c r="A38" s="3" t="s">
        <v>57</v>
      </c>
      <c r="B38" s="3">
        <v>0</v>
      </c>
      <c r="C38" s="3">
        <v>25</v>
      </c>
      <c r="D38" s="3"/>
      <c r="E38" s="3">
        <v>-3.5527136788005009E-15</v>
      </c>
      <c r="F38" s="3">
        <v>-3.5527136788005009E-15</v>
      </c>
      <c r="G38" s="3">
        <v>-7.1054273576010019E-15</v>
      </c>
      <c r="H38" s="3"/>
      <c r="I38" s="3"/>
      <c r="J38" s="3"/>
      <c r="K38" s="3"/>
      <c r="L38" s="3"/>
      <c r="M38" s="3"/>
      <c r="N38" s="3"/>
      <c r="O38" s="3"/>
      <c r="P38" s="3"/>
      <c r="Q38" s="2" t="s">
        <v>2</v>
      </c>
    </row>
    <row r="39" spans="1:256" x14ac:dyDescent="0.25">
      <c r="A39" s="3" t="s">
        <v>53</v>
      </c>
      <c r="B39" s="3">
        <v>-1000000000</v>
      </c>
      <c r="C39" s="3">
        <v>1000000000</v>
      </c>
      <c r="D39" s="3"/>
      <c r="E39" s="3">
        <v>21967</v>
      </c>
      <c r="F39" s="3">
        <v>22676</v>
      </c>
      <c r="G39" s="3">
        <v>11575</v>
      </c>
      <c r="H39" s="3">
        <v>-11575</v>
      </c>
      <c r="I39" s="3"/>
      <c r="J39" s="3"/>
      <c r="K39" s="3"/>
      <c r="L39" s="3"/>
      <c r="M39" s="3"/>
      <c r="N39" s="3"/>
      <c r="O39" s="3"/>
      <c r="P39" s="3"/>
      <c r="Q39" s="2" t="s">
        <v>2</v>
      </c>
    </row>
    <row r="40" spans="1:256" s="16" customFormat="1" x14ac:dyDescent="0.25">
      <c r="A40" s="16" t="s">
        <v>19</v>
      </c>
      <c r="B40" s="16">
        <v>0</v>
      </c>
      <c r="C40" s="16">
        <v>500</v>
      </c>
      <c r="D40" s="16">
        <v>500</v>
      </c>
      <c r="E40" s="16">
        <v>124.88333333333343</v>
      </c>
      <c r="F40" s="16">
        <v>99.266666666666779</v>
      </c>
      <c r="G40" s="16">
        <v>294.12333333333333</v>
      </c>
      <c r="H40" s="16">
        <v>205.87666666666667</v>
      </c>
      <c r="Q40" s="16" t="s">
        <v>2</v>
      </c>
    </row>
    <row r="41" spans="1:256" s="8" customFormat="1" x14ac:dyDescent="0.25">
      <c r="A41" s="5" t="s">
        <v>54</v>
      </c>
      <c r="B41" s="5">
        <v>-1000000000</v>
      </c>
      <c r="C41" s="5">
        <v>1000000000</v>
      </c>
      <c r="D41" s="5"/>
      <c r="E41" s="5">
        <v>54917.5</v>
      </c>
      <c r="F41" s="5">
        <v>56690</v>
      </c>
      <c r="G41" s="5">
        <v>28937.5</v>
      </c>
      <c r="H41" s="5">
        <v>-28937.5</v>
      </c>
      <c r="I41" s="5"/>
      <c r="J41" s="5"/>
      <c r="K41" s="5"/>
      <c r="L41" s="5"/>
      <c r="M41" s="5"/>
      <c r="N41" s="5"/>
      <c r="O41" s="5"/>
      <c r="P41" s="5"/>
      <c r="Q41" s="7" t="s">
        <v>2</v>
      </c>
    </row>
    <row r="42" spans="1:256" s="12" customFormat="1" x14ac:dyDescent="0.25">
      <c r="A42" s="9" t="s">
        <v>21</v>
      </c>
      <c r="B42" s="9">
        <v>-1000000000</v>
      </c>
      <c r="C42" s="9">
        <v>1000000000</v>
      </c>
      <c r="D42" s="10"/>
      <c r="E42" s="9">
        <v>20209.640000000003</v>
      </c>
      <c r="F42" s="9">
        <v>20861.919999999998</v>
      </c>
      <c r="G42" s="9">
        <v>10649</v>
      </c>
      <c r="H42" s="9">
        <v>-10649</v>
      </c>
      <c r="I42" s="9"/>
      <c r="J42" s="9"/>
      <c r="K42" s="9"/>
      <c r="L42" s="9"/>
      <c r="M42" s="9"/>
      <c r="N42" s="9"/>
      <c r="O42" s="9"/>
      <c r="P42" s="9"/>
      <c r="Q42" s="11" t="s">
        <v>2</v>
      </c>
    </row>
    <row r="43" spans="1:256" x14ac:dyDescent="0.25">
      <c r="Q43" s="2" t="s">
        <v>2</v>
      </c>
    </row>
    <row r="44" spans="1:256" s="2" customFormat="1" x14ac:dyDescent="0.25">
      <c r="A44" s="2" t="s">
        <v>2</v>
      </c>
      <c r="B44" s="2" t="s">
        <v>2</v>
      </c>
      <c r="C44" s="2" t="s">
        <v>2</v>
      </c>
      <c r="D44" s="2" t="s">
        <v>2</v>
      </c>
      <c r="E44" s="2" t="s">
        <v>2</v>
      </c>
      <c r="F44" s="2" t="s">
        <v>2</v>
      </c>
      <c r="G44" s="2" t="s">
        <v>2</v>
      </c>
      <c r="H44" s="2" t="s">
        <v>2</v>
      </c>
      <c r="I44" s="2" t="s">
        <v>2</v>
      </c>
      <c r="J44" s="2" t="s">
        <v>2</v>
      </c>
      <c r="K44" s="2" t="s">
        <v>2</v>
      </c>
      <c r="L44" s="2" t="s">
        <v>2</v>
      </c>
      <c r="M44" s="2" t="s">
        <v>2</v>
      </c>
      <c r="N44" s="2" t="s">
        <v>2</v>
      </c>
      <c r="O44" s="2" t="s">
        <v>2</v>
      </c>
      <c r="P44" s="2" t="s">
        <v>2</v>
      </c>
      <c r="Q44" s="2" t="s">
        <v>2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</sheetData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7C435-5C39-40B7-A15E-9B54A3EEE4DF}">
  <dimension ref="A1:IV44"/>
  <sheetViews>
    <sheetView workbookViewId="0">
      <selection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9" width="11.6640625" style="1" customWidth="1"/>
    <col min="10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17" x14ac:dyDescent="0.25">
      <c r="A1" s="1" t="s">
        <v>0</v>
      </c>
      <c r="B1" s="1" t="s">
        <v>63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ht="39.6" x14ac:dyDescent="0.25">
      <c r="A3" s="3" t="s">
        <v>3</v>
      </c>
      <c r="B3" s="3" t="s">
        <v>53</v>
      </c>
      <c r="C3" s="3" t="s">
        <v>53</v>
      </c>
      <c r="D3" s="3" t="s">
        <v>19</v>
      </c>
      <c r="E3" s="3" t="s">
        <v>19</v>
      </c>
      <c r="F3" s="3" t="s">
        <v>54</v>
      </c>
      <c r="G3" s="3" t="s">
        <v>54</v>
      </c>
      <c r="H3" s="3" t="s">
        <v>21</v>
      </c>
      <c r="I3" s="3" t="s">
        <v>21</v>
      </c>
      <c r="J3" s="3" t="s">
        <v>5</v>
      </c>
      <c r="K3" s="3" t="s">
        <v>13</v>
      </c>
      <c r="Q3" s="2" t="s">
        <v>2</v>
      </c>
    </row>
    <row r="4" spans="1:17" x14ac:dyDescent="0.25">
      <c r="A4" s="3" t="s">
        <v>55</v>
      </c>
      <c r="B4" s="3">
        <v>1</v>
      </c>
      <c r="C4" s="3">
        <v>-1</v>
      </c>
      <c r="D4" s="3">
        <f>-B4/60</f>
        <v>-1.6666666666666666E-2</v>
      </c>
      <c r="E4" s="3">
        <f>-D4</f>
        <v>1.6666666666666666E-2</v>
      </c>
      <c r="F4" s="3">
        <v>2</v>
      </c>
      <c r="G4" s="3">
        <f>-F4</f>
        <v>-2</v>
      </c>
      <c r="H4" s="3">
        <v>0.92</v>
      </c>
      <c r="I4" s="3">
        <f>-H4</f>
        <v>-0.92</v>
      </c>
      <c r="J4" s="3">
        <f>-F4</f>
        <v>-2</v>
      </c>
      <c r="K4" s="3">
        <f>H4</f>
        <v>0.92</v>
      </c>
      <c r="Q4" s="2" t="s">
        <v>2</v>
      </c>
    </row>
    <row r="5" spans="1:17" x14ac:dyDescent="0.25">
      <c r="A5" s="3" t="s">
        <v>7</v>
      </c>
      <c r="B5" s="3">
        <v>0</v>
      </c>
      <c r="C5" s="3">
        <v>1</v>
      </c>
      <c r="D5" s="3">
        <v>0</v>
      </c>
      <c r="E5" s="3">
        <v>1</v>
      </c>
      <c r="F5" s="3">
        <v>0</v>
      </c>
      <c r="G5" s="3">
        <v>1</v>
      </c>
      <c r="H5" s="3">
        <v>0</v>
      </c>
      <c r="I5" s="3">
        <v>1</v>
      </c>
      <c r="J5" s="3">
        <v>0</v>
      </c>
      <c r="K5" s="3">
        <v>0</v>
      </c>
      <c r="Q5" s="2" t="s">
        <v>2</v>
      </c>
    </row>
    <row r="6" spans="1:17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Q6" s="2" t="s">
        <v>2</v>
      </c>
    </row>
    <row r="7" spans="1:17" s="2" customFormat="1" x14ac:dyDescent="0.25">
      <c r="A7" s="14" t="s">
        <v>9</v>
      </c>
      <c r="B7" s="14" t="s">
        <v>63</v>
      </c>
      <c r="C7" s="14" t="s">
        <v>63</v>
      </c>
      <c r="D7" s="14" t="s">
        <v>63</v>
      </c>
      <c r="E7" s="14" t="s">
        <v>63</v>
      </c>
      <c r="F7" s="14" t="s">
        <v>63</v>
      </c>
      <c r="G7" s="14" t="s">
        <v>63</v>
      </c>
      <c r="H7" s="14" t="s">
        <v>63</v>
      </c>
      <c r="I7" s="14" t="s">
        <v>63</v>
      </c>
      <c r="J7" s="14" t="s">
        <v>1</v>
      </c>
      <c r="K7" s="14" t="s">
        <v>1</v>
      </c>
      <c r="N7" s="1"/>
      <c r="Q7" s="2" t="s">
        <v>2</v>
      </c>
    </row>
    <row r="8" spans="1:17" x14ac:dyDescent="0.25">
      <c r="Q8" s="2" t="s">
        <v>2</v>
      </c>
    </row>
    <row r="9" spans="1:17" ht="52.8" x14ac:dyDescent="0.25">
      <c r="A9" s="3" t="s">
        <v>3</v>
      </c>
      <c r="B9" s="3" t="s">
        <v>16</v>
      </c>
      <c r="C9" s="3" t="s">
        <v>16</v>
      </c>
      <c r="D9" s="3" t="s">
        <v>56</v>
      </c>
      <c r="E9" s="3" t="s">
        <v>57</v>
      </c>
      <c r="F9" s="3" t="s">
        <v>19</v>
      </c>
      <c r="G9" s="3" t="s">
        <v>19</v>
      </c>
      <c r="H9" s="3" t="s">
        <v>22</v>
      </c>
      <c r="I9" s="3" t="s">
        <v>5</v>
      </c>
      <c r="Q9" s="2" t="s">
        <v>2</v>
      </c>
    </row>
    <row r="10" spans="1:17" x14ac:dyDescent="0.25">
      <c r="A10" s="3" t="s">
        <v>58</v>
      </c>
      <c r="B10" s="3">
        <v>1</v>
      </c>
      <c r="C10" s="3">
        <f>-B10</f>
        <v>-1</v>
      </c>
      <c r="D10" s="3">
        <f>B10</f>
        <v>1</v>
      </c>
      <c r="E10" s="3">
        <f>0.35*B10</f>
        <v>0.35</v>
      </c>
      <c r="F10" s="3">
        <v>-0.03</v>
      </c>
      <c r="G10" s="3">
        <f>-F10</f>
        <v>0.03</v>
      </c>
      <c r="H10" s="3">
        <f>-12*B10</f>
        <v>-12</v>
      </c>
      <c r="I10" s="3">
        <f>-H10</f>
        <v>12</v>
      </c>
      <c r="Q10" s="2" t="s">
        <v>2</v>
      </c>
    </row>
    <row r="11" spans="1:17" x14ac:dyDescent="0.25">
      <c r="A11" s="3" t="s">
        <v>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</v>
      </c>
      <c r="H11" s="3">
        <v>0</v>
      </c>
      <c r="I11" s="3">
        <v>0</v>
      </c>
      <c r="Q11" s="2" t="s">
        <v>2</v>
      </c>
    </row>
    <row r="12" spans="1:17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63</v>
      </c>
      <c r="C13" s="14" t="s">
        <v>59</v>
      </c>
      <c r="D13" s="14" t="s">
        <v>63</v>
      </c>
      <c r="E13" s="14" t="s">
        <v>63</v>
      </c>
      <c r="F13" s="14" t="s">
        <v>63</v>
      </c>
      <c r="G13" s="14" t="s">
        <v>63</v>
      </c>
      <c r="H13" s="14" t="s">
        <v>59</v>
      </c>
      <c r="I13" s="14" t="s">
        <v>1</v>
      </c>
      <c r="N13" s="1"/>
      <c r="Q13" s="2" t="s">
        <v>2</v>
      </c>
    </row>
    <row r="14" spans="1:17" x14ac:dyDescent="0.25">
      <c r="Q14" s="2" t="s">
        <v>2</v>
      </c>
    </row>
    <row r="15" spans="1:17" ht="52.8" x14ac:dyDescent="0.25">
      <c r="A15" s="3" t="s">
        <v>3</v>
      </c>
      <c r="B15" s="3" t="s">
        <v>37</v>
      </c>
      <c r="C15" s="3" t="s">
        <v>37</v>
      </c>
      <c r="D15" s="3" t="s">
        <v>56</v>
      </c>
      <c r="E15" s="3" t="s">
        <v>57</v>
      </c>
      <c r="F15" s="3" t="s">
        <v>19</v>
      </c>
      <c r="G15" s="3" t="s">
        <v>19</v>
      </c>
      <c r="H15" s="3" t="s">
        <v>38</v>
      </c>
      <c r="I15" s="3" t="s">
        <v>5</v>
      </c>
      <c r="Q15" s="2" t="s">
        <v>2</v>
      </c>
    </row>
    <row r="16" spans="1:17" x14ac:dyDescent="0.25">
      <c r="A16" s="3" t="s">
        <v>60</v>
      </c>
      <c r="B16" s="3">
        <v>1</v>
      </c>
      <c r="C16" s="3">
        <f>-B16</f>
        <v>-1</v>
      </c>
      <c r="D16" s="3">
        <f>B16</f>
        <v>1</v>
      </c>
      <c r="E16" s="3">
        <v>0.5</v>
      </c>
      <c r="F16" s="3">
        <v>-0.03</v>
      </c>
      <c r="G16" s="3">
        <f>-F16</f>
        <v>0.03</v>
      </c>
      <c r="H16" s="3">
        <f>-19*B16</f>
        <v>-19</v>
      </c>
      <c r="I16" s="3">
        <f>-H16</f>
        <v>19</v>
      </c>
      <c r="Q16" s="2" t="s">
        <v>2</v>
      </c>
    </row>
    <row r="17" spans="1:17" x14ac:dyDescent="0.25">
      <c r="A17" s="3" t="s">
        <v>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</v>
      </c>
      <c r="H17" s="3">
        <v>0</v>
      </c>
      <c r="I17" s="3">
        <v>0</v>
      </c>
      <c r="Q17" s="2" t="s">
        <v>2</v>
      </c>
    </row>
    <row r="18" spans="1:17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20</v>
      </c>
      <c r="Q18" s="2" t="s">
        <v>2</v>
      </c>
    </row>
    <row r="19" spans="1:17" x14ac:dyDescent="0.25">
      <c r="A19" s="14" t="s">
        <v>9</v>
      </c>
      <c r="B19" s="14" t="s">
        <v>63</v>
      </c>
      <c r="C19" s="14" t="s">
        <v>59</v>
      </c>
      <c r="D19" s="14" t="s">
        <v>63</v>
      </c>
      <c r="E19" s="14" t="s">
        <v>63</v>
      </c>
      <c r="F19" s="14" t="s">
        <v>63</v>
      </c>
      <c r="G19" s="14" t="s">
        <v>63</v>
      </c>
      <c r="H19" s="14" t="s">
        <v>59</v>
      </c>
      <c r="I19" s="14" t="s">
        <v>1</v>
      </c>
      <c r="Q19" s="2" t="s">
        <v>2</v>
      </c>
    </row>
    <row r="20" spans="1:17" x14ac:dyDescent="0.25">
      <c r="Q20" s="2" t="s">
        <v>2</v>
      </c>
    </row>
    <row r="21" spans="1:17" ht="52.8" x14ac:dyDescent="0.25">
      <c r="A21" s="3" t="s">
        <v>3</v>
      </c>
      <c r="B21" s="3" t="s">
        <v>16</v>
      </c>
      <c r="C21" s="3" t="s">
        <v>16</v>
      </c>
      <c r="D21" s="3" t="s">
        <v>56</v>
      </c>
      <c r="E21" s="3" t="s">
        <v>57</v>
      </c>
      <c r="F21" s="3" t="s">
        <v>19</v>
      </c>
      <c r="G21" s="3" t="s">
        <v>19</v>
      </c>
      <c r="H21" s="3" t="s">
        <v>22</v>
      </c>
      <c r="I21" s="3" t="s">
        <v>5</v>
      </c>
      <c r="Q21" s="2" t="s">
        <v>2</v>
      </c>
    </row>
    <row r="22" spans="1:17" x14ac:dyDescent="0.25">
      <c r="A22" s="3" t="s">
        <v>61</v>
      </c>
      <c r="B22" s="3">
        <v>-1</v>
      </c>
      <c r="C22" s="3">
        <f>-B22</f>
        <v>1</v>
      </c>
      <c r="D22" s="3">
        <f>B22</f>
        <v>-1</v>
      </c>
      <c r="E22" s="3">
        <f>0.35*B22</f>
        <v>-0.35</v>
      </c>
      <c r="F22" s="3">
        <v>-0.03</v>
      </c>
      <c r="G22" s="3">
        <f>-F22</f>
        <v>0.03</v>
      </c>
      <c r="H22" s="3">
        <f>-12*B22</f>
        <v>12</v>
      </c>
      <c r="I22" s="3">
        <f>-H22</f>
        <v>-12</v>
      </c>
      <c r="Q22" s="2" t="s">
        <v>2</v>
      </c>
    </row>
    <row r="23" spans="1:17" x14ac:dyDescent="0.25">
      <c r="A23" s="3" t="s">
        <v>7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</v>
      </c>
      <c r="H23" s="3">
        <v>0</v>
      </c>
      <c r="I23" s="3">
        <v>0</v>
      </c>
      <c r="Q23" s="2" t="s">
        <v>2</v>
      </c>
    </row>
    <row r="24" spans="1:17" x14ac:dyDescent="0.25">
      <c r="A24" s="3" t="s">
        <v>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20</v>
      </c>
      <c r="Q24" s="2" t="s">
        <v>2</v>
      </c>
    </row>
    <row r="25" spans="1:17" x14ac:dyDescent="0.25">
      <c r="A25" s="14" t="s">
        <v>9</v>
      </c>
      <c r="B25" s="14" t="s">
        <v>63</v>
      </c>
      <c r="C25" s="14" t="s">
        <v>59</v>
      </c>
      <c r="D25" s="14" t="s">
        <v>63</v>
      </c>
      <c r="E25" s="14" t="s">
        <v>63</v>
      </c>
      <c r="F25" s="14" t="s">
        <v>63</v>
      </c>
      <c r="G25" s="14" t="s">
        <v>63</v>
      </c>
      <c r="H25" s="14" t="s">
        <v>59</v>
      </c>
      <c r="I25" s="14" t="s">
        <v>1</v>
      </c>
      <c r="Q25" s="2" t="s">
        <v>2</v>
      </c>
    </row>
    <row r="26" spans="1:17" x14ac:dyDescent="0.25">
      <c r="Q26" s="2" t="s">
        <v>2</v>
      </c>
    </row>
    <row r="27" spans="1:17" ht="52.8" x14ac:dyDescent="0.25">
      <c r="A27" s="3" t="s">
        <v>3</v>
      </c>
      <c r="B27" s="3" t="s">
        <v>37</v>
      </c>
      <c r="C27" s="3" t="s">
        <v>37</v>
      </c>
      <c r="D27" s="3" t="s">
        <v>56</v>
      </c>
      <c r="E27" s="3" t="s">
        <v>57</v>
      </c>
      <c r="F27" s="3" t="s">
        <v>19</v>
      </c>
      <c r="G27" s="3" t="s">
        <v>19</v>
      </c>
      <c r="H27" s="3" t="s">
        <v>38</v>
      </c>
      <c r="I27" s="3" t="s">
        <v>5</v>
      </c>
      <c r="Q27" s="2" t="s">
        <v>2</v>
      </c>
    </row>
    <row r="28" spans="1:17" x14ac:dyDescent="0.25">
      <c r="A28" s="3" t="s">
        <v>62</v>
      </c>
      <c r="B28" s="3">
        <v>-1</v>
      </c>
      <c r="C28" s="3">
        <f>-B28</f>
        <v>1</v>
      </c>
      <c r="D28" s="3">
        <f>B28</f>
        <v>-1</v>
      </c>
      <c r="E28" s="3">
        <v>-0.5</v>
      </c>
      <c r="F28" s="3">
        <v>-0.03</v>
      </c>
      <c r="G28" s="3">
        <f>-F28</f>
        <v>0.03</v>
      </c>
      <c r="H28" s="3">
        <f>-19*B28</f>
        <v>19</v>
      </c>
      <c r="I28" s="3">
        <f>-H28</f>
        <v>-19</v>
      </c>
      <c r="Q28" s="2" t="s">
        <v>2</v>
      </c>
    </row>
    <row r="29" spans="1:17" x14ac:dyDescent="0.25">
      <c r="A29" s="3" t="s">
        <v>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1</v>
      </c>
      <c r="H29" s="3">
        <v>0</v>
      </c>
      <c r="I29" s="3">
        <v>0</v>
      </c>
      <c r="Q29" s="2" t="s">
        <v>2</v>
      </c>
    </row>
    <row r="30" spans="1:17" x14ac:dyDescent="0.25">
      <c r="A30" s="3" t="s">
        <v>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20</v>
      </c>
      <c r="Q30" s="2" t="s">
        <v>2</v>
      </c>
    </row>
    <row r="31" spans="1:17" x14ac:dyDescent="0.25">
      <c r="A31" s="14" t="s">
        <v>9</v>
      </c>
      <c r="B31" s="14" t="s">
        <v>63</v>
      </c>
      <c r="C31" s="14" t="s">
        <v>59</v>
      </c>
      <c r="D31" s="14" t="s">
        <v>63</v>
      </c>
      <c r="E31" s="14" t="s">
        <v>63</v>
      </c>
      <c r="F31" s="14" t="s">
        <v>63</v>
      </c>
      <c r="G31" s="14" t="s">
        <v>63</v>
      </c>
      <c r="H31" s="14" t="s">
        <v>59</v>
      </c>
      <c r="I31" s="14" t="s">
        <v>1</v>
      </c>
      <c r="Q31" s="2" t="s">
        <v>2</v>
      </c>
    </row>
    <row r="32" spans="1:17" x14ac:dyDescent="0.25">
      <c r="Q32" s="2" t="s">
        <v>2</v>
      </c>
    </row>
    <row r="33" spans="1:256" x14ac:dyDescent="0.25">
      <c r="A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2" t="s">
        <v>2</v>
      </c>
    </row>
    <row r="34" spans="1:256" x14ac:dyDescent="0.25">
      <c r="A34" s="3" t="s">
        <v>10</v>
      </c>
      <c r="B34" s="3" t="s">
        <v>11</v>
      </c>
      <c r="C34" s="3" t="s">
        <v>12</v>
      </c>
      <c r="D34" s="4">
        <v>0</v>
      </c>
      <c r="E34" s="4">
        <v>1</v>
      </c>
      <c r="F34" s="4">
        <v>2</v>
      </c>
      <c r="G34" s="4">
        <v>3</v>
      </c>
      <c r="H34" s="4">
        <v>4</v>
      </c>
      <c r="I34" s="4">
        <v>5</v>
      </c>
      <c r="J34" s="4">
        <v>6</v>
      </c>
      <c r="K34" s="4">
        <v>7</v>
      </c>
      <c r="L34" s="4">
        <v>8</v>
      </c>
      <c r="M34" s="4">
        <v>9</v>
      </c>
      <c r="N34" s="4">
        <v>10</v>
      </c>
      <c r="O34" s="4">
        <v>11</v>
      </c>
      <c r="P34" s="4">
        <v>12</v>
      </c>
      <c r="Q34" s="2" t="s">
        <v>2</v>
      </c>
    </row>
    <row r="35" spans="1:256" x14ac:dyDescent="0.25">
      <c r="A35" s="3" t="s">
        <v>16</v>
      </c>
      <c r="B35" s="3">
        <v>0</v>
      </c>
      <c r="C35" s="3">
        <v>1000000000</v>
      </c>
      <c r="D35" s="4"/>
      <c r="E35" s="4">
        <v>0</v>
      </c>
      <c r="F35" s="4">
        <v>0</v>
      </c>
      <c r="G35" s="4">
        <v>0</v>
      </c>
      <c r="H35" s="4"/>
      <c r="I35" s="4"/>
      <c r="J35" s="4"/>
      <c r="K35" s="4"/>
      <c r="L35" s="4"/>
      <c r="M35" s="4"/>
      <c r="N35" s="4"/>
      <c r="O35" s="4"/>
      <c r="P35" s="4"/>
      <c r="Q35" s="2" t="s">
        <v>2</v>
      </c>
    </row>
    <row r="36" spans="1:256" x14ac:dyDescent="0.25">
      <c r="A36" s="3" t="s">
        <v>37</v>
      </c>
      <c r="B36" s="3">
        <v>0</v>
      </c>
      <c r="C36" s="3">
        <v>1000000000</v>
      </c>
      <c r="D36" s="4"/>
      <c r="E36" s="4">
        <v>2</v>
      </c>
      <c r="F36" s="4">
        <v>0</v>
      </c>
      <c r="G36" s="4">
        <v>0</v>
      </c>
      <c r="H36" s="4"/>
      <c r="I36" s="4"/>
      <c r="J36" s="4"/>
      <c r="K36" s="4"/>
      <c r="L36" s="4"/>
      <c r="M36" s="4"/>
      <c r="N36" s="4"/>
      <c r="O36" s="4"/>
      <c r="P36" s="4"/>
      <c r="Q36" s="2" t="s">
        <v>2</v>
      </c>
    </row>
    <row r="37" spans="1:256" x14ac:dyDescent="0.25">
      <c r="A37" s="3" t="s">
        <v>56</v>
      </c>
      <c r="B37" s="3">
        <v>0</v>
      </c>
      <c r="C37" s="3">
        <v>66</v>
      </c>
      <c r="D37" s="4"/>
      <c r="E37" s="4">
        <v>2</v>
      </c>
      <c r="F37" s="4">
        <v>0</v>
      </c>
      <c r="G37" s="4">
        <v>0</v>
      </c>
      <c r="H37" s="4"/>
      <c r="I37" s="4"/>
      <c r="J37" s="4"/>
      <c r="K37" s="4"/>
      <c r="L37" s="4"/>
      <c r="M37" s="4"/>
      <c r="N37" s="4"/>
      <c r="O37" s="4"/>
      <c r="P37" s="4"/>
      <c r="Q37" s="2" t="s">
        <v>2</v>
      </c>
    </row>
    <row r="38" spans="1:256" x14ac:dyDescent="0.25">
      <c r="A38" s="3" t="s">
        <v>57</v>
      </c>
      <c r="B38" s="3">
        <v>0</v>
      </c>
      <c r="C38" s="3">
        <v>25</v>
      </c>
      <c r="D38" s="4"/>
      <c r="E38" s="4">
        <v>1</v>
      </c>
      <c r="F38" s="4">
        <v>0</v>
      </c>
      <c r="G38" s="4">
        <v>0</v>
      </c>
      <c r="H38" s="4"/>
      <c r="I38" s="4"/>
      <c r="J38" s="4"/>
      <c r="K38" s="4"/>
      <c r="L38" s="4"/>
      <c r="M38" s="4"/>
      <c r="N38" s="4"/>
      <c r="O38" s="4"/>
      <c r="P38" s="4"/>
      <c r="Q38" s="2" t="s">
        <v>2</v>
      </c>
    </row>
    <row r="39" spans="1:256" x14ac:dyDescent="0.25">
      <c r="A39" s="3" t="s">
        <v>53</v>
      </c>
      <c r="B39" s="3">
        <v>-1000000000</v>
      </c>
      <c r="C39" s="3">
        <v>1000000000</v>
      </c>
      <c r="D39" s="4"/>
      <c r="E39" s="4">
        <v>9539</v>
      </c>
      <c r="F39" s="4">
        <v>13476</v>
      </c>
      <c r="G39" s="4">
        <v>13039</v>
      </c>
      <c r="H39" s="4">
        <v>-13039</v>
      </c>
      <c r="I39" s="4"/>
      <c r="J39" s="4"/>
      <c r="K39" s="4"/>
      <c r="L39" s="4"/>
      <c r="M39" s="4"/>
      <c r="N39" s="4"/>
      <c r="O39" s="4"/>
      <c r="P39" s="4"/>
      <c r="Q39" s="2" t="s">
        <v>2</v>
      </c>
    </row>
    <row r="40" spans="1:256" s="16" customFormat="1" x14ac:dyDescent="0.25">
      <c r="A40" s="16" t="s">
        <v>19</v>
      </c>
      <c r="B40" s="16">
        <v>0</v>
      </c>
      <c r="C40" s="16">
        <v>250</v>
      </c>
      <c r="D40" s="16">
        <v>250</v>
      </c>
      <c r="E40" s="16">
        <v>88.076666666666611</v>
      </c>
      <c r="F40" s="16">
        <v>11.779999999999983</v>
      </c>
      <c r="G40" s="16">
        <v>22.543333333333294</v>
      </c>
      <c r="H40" s="16">
        <v>227.45666666666668</v>
      </c>
      <c r="Q40" s="16" t="s">
        <v>2</v>
      </c>
    </row>
    <row r="41" spans="1:256" s="8" customFormat="1" x14ac:dyDescent="0.25">
      <c r="A41" s="5" t="s">
        <v>54</v>
      </c>
      <c r="B41" s="5">
        <v>-1000000000</v>
      </c>
      <c r="C41" s="5">
        <v>1000000000</v>
      </c>
      <c r="D41" s="6"/>
      <c r="E41" s="6">
        <v>19078</v>
      </c>
      <c r="F41" s="6">
        <v>26952</v>
      </c>
      <c r="G41" s="6">
        <v>26078</v>
      </c>
      <c r="H41" s="6">
        <v>-26078</v>
      </c>
      <c r="I41" s="6"/>
      <c r="J41" s="6"/>
      <c r="K41" s="6"/>
      <c r="L41" s="6"/>
      <c r="M41" s="6"/>
      <c r="N41" s="6"/>
      <c r="O41" s="6"/>
      <c r="P41" s="6"/>
      <c r="Q41" s="7" t="s">
        <v>2</v>
      </c>
    </row>
    <row r="42" spans="1:256" s="12" customFormat="1" x14ac:dyDescent="0.25">
      <c r="A42" s="9" t="s">
        <v>21</v>
      </c>
      <c r="B42" s="9">
        <v>-1000000000</v>
      </c>
      <c r="C42" s="9">
        <v>1000000000</v>
      </c>
      <c r="D42" s="10"/>
      <c r="E42" s="9">
        <v>8775.880000000001</v>
      </c>
      <c r="F42" s="9">
        <v>12397.920000000002</v>
      </c>
      <c r="G42" s="9">
        <v>11995.88</v>
      </c>
      <c r="H42" s="9">
        <v>-11995.88</v>
      </c>
      <c r="I42" s="9"/>
      <c r="J42" s="9"/>
      <c r="K42" s="9"/>
      <c r="L42" s="9"/>
      <c r="M42" s="9"/>
      <c r="N42" s="9"/>
      <c r="O42" s="9"/>
      <c r="P42" s="9"/>
      <c r="Q42" s="11" t="s">
        <v>2</v>
      </c>
    </row>
    <row r="43" spans="1:256" x14ac:dyDescent="0.25"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2" t="s">
        <v>2</v>
      </c>
    </row>
    <row r="44" spans="1:256" s="2" customFormat="1" x14ac:dyDescent="0.25">
      <c r="A44" s="2" t="s">
        <v>2</v>
      </c>
      <c r="B44" s="2" t="s">
        <v>2</v>
      </c>
      <c r="C44" s="2" t="s">
        <v>2</v>
      </c>
      <c r="D44" s="2" t="s">
        <v>2</v>
      </c>
      <c r="E44" s="2" t="s">
        <v>2</v>
      </c>
      <c r="F44" s="2" t="s">
        <v>2</v>
      </c>
      <c r="G44" s="2" t="s">
        <v>2</v>
      </c>
      <c r="H44" s="2" t="s">
        <v>2</v>
      </c>
      <c r="I44" s="2" t="s">
        <v>2</v>
      </c>
      <c r="J44" s="2" t="s">
        <v>2</v>
      </c>
      <c r="K44" s="2" t="s">
        <v>2</v>
      </c>
      <c r="L44" s="2" t="s">
        <v>2</v>
      </c>
      <c r="M44" s="2" t="s">
        <v>2</v>
      </c>
      <c r="N44" s="2" t="s">
        <v>2</v>
      </c>
      <c r="O44" s="2" t="s">
        <v>2</v>
      </c>
      <c r="P44" s="2" t="s">
        <v>2</v>
      </c>
      <c r="Q44" s="2" t="s">
        <v>2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BFD9F-C2F4-43B1-A356-B374EB2D9899}">
  <dimension ref="A1:IV44"/>
  <sheetViews>
    <sheetView workbookViewId="0">
      <selection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9" width="11.6640625" style="1" customWidth="1"/>
    <col min="10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17" x14ac:dyDescent="0.25">
      <c r="A1" s="1" t="s">
        <v>0</v>
      </c>
      <c r="B1" s="1" t="s">
        <v>64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ht="39.6" x14ac:dyDescent="0.25">
      <c r="A3" s="3" t="s">
        <v>3</v>
      </c>
      <c r="B3" s="3" t="s">
        <v>53</v>
      </c>
      <c r="C3" s="3" t="s">
        <v>53</v>
      </c>
      <c r="D3" s="3" t="s">
        <v>19</v>
      </c>
      <c r="E3" s="3" t="s">
        <v>19</v>
      </c>
      <c r="F3" s="3" t="s">
        <v>54</v>
      </c>
      <c r="G3" s="3" t="s">
        <v>54</v>
      </c>
      <c r="H3" s="3" t="s">
        <v>21</v>
      </c>
      <c r="I3" s="3" t="s">
        <v>21</v>
      </c>
      <c r="J3" s="3" t="s">
        <v>5</v>
      </c>
      <c r="K3" s="3" t="s">
        <v>13</v>
      </c>
      <c r="Q3" s="2" t="s">
        <v>2</v>
      </c>
    </row>
    <row r="4" spans="1:17" x14ac:dyDescent="0.25">
      <c r="A4" s="3" t="s">
        <v>55</v>
      </c>
      <c r="B4" s="3">
        <v>1</v>
      </c>
      <c r="C4" s="3">
        <v>-1</v>
      </c>
      <c r="D4" s="3">
        <f>-B4/70</f>
        <v>-1.4285714285714285E-2</v>
      </c>
      <c r="E4" s="3">
        <f>-D4</f>
        <v>1.4285714285714285E-2</v>
      </c>
      <c r="F4" s="3">
        <v>1.5</v>
      </c>
      <c r="G4" s="3">
        <f>-F4</f>
        <v>-1.5</v>
      </c>
      <c r="H4" s="3">
        <v>0.8</v>
      </c>
      <c r="I4" s="3">
        <f>-H4</f>
        <v>-0.8</v>
      </c>
      <c r="J4" s="3">
        <f>-F4</f>
        <v>-1.5</v>
      </c>
      <c r="K4" s="3">
        <f>H4</f>
        <v>0.8</v>
      </c>
      <c r="Q4" s="2" t="s">
        <v>2</v>
      </c>
    </row>
    <row r="5" spans="1:17" x14ac:dyDescent="0.25">
      <c r="A5" s="3" t="s">
        <v>7</v>
      </c>
      <c r="B5" s="3">
        <v>0</v>
      </c>
      <c r="C5" s="3">
        <v>1</v>
      </c>
      <c r="D5" s="3">
        <v>0</v>
      </c>
      <c r="E5" s="3">
        <v>1</v>
      </c>
      <c r="F5" s="3">
        <v>0</v>
      </c>
      <c r="G5" s="3">
        <v>1</v>
      </c>
      <c r="H5" s="3">
        <v>0</v>
      </c>
      <c r="I5" s="3">
        <v>1</v>
      </c>
      <c r="J5" s="3">
        <v>0</v>
      </c>
      <c r="K5" s="3">
        <v>0</v>
      </c>
      <c r="Q5" s="2" t="s">
        <v>2</v>
      </c>
    </row>
    <row r="6" spans="1:17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Q6" s="2" t="s">
        <v>2</v>
      </c>
    </row>
    <row r="7" spans="1:17" s="2" customFormat="1" x14ac:dyDescent="0.25">
      <c r="A7" s="14" t="s">
        <v>9</v>
      </c>
      <c r="B7" s="14" t="s">
        <v>64</v>
      </c>
      <c r="C7" s="14" t="s">
        <v>64</v>
      </c>
      <c r="D7" s="14" t="s">
        <v>64</v>
      </c>
      <c r="E7" s="14" t="s">
        <v>64</v>
      </c>
      <c r="F7" s="14" t="s">
        <v>64</v>
      </c>
      <c r="G7" s="14" t="s">
        <v>64</v>
      </c>
      <c r="H7" s="14" t="s">
        <v>64</v>
      </c>
      <c r="I7" s="14" t="s">
        <v>64</v>
      </c>
      <c r="J7" s="14" t="s">
        <v>1</v>
      </c>
      <c r="K7" s="14" t="s">
        <v>1</v>
      </c>
      <c r="N7" s="1"/>
      <c r="Q7" s="2" t="s">
        <v>2</v>
      </c>
    </row>
    <row r="8" spans="1:17" x14ac:dyDescent="0.25">
      <c r="Q8" s="2" t="s">
        <v>2</v>
      </c>
    </row>
    <row r="9" spans="1:17" ht="52.8" x14ac:dyDescent="0.25">
      <c r="A9" s="3" t="s">
        <v>3</v>
      </c>
      <c r="B9" s="3" t="s">
        <v>16</v>
      </c>
      <c r="C9" s="3" t="s">
        <v>16</v>
      </c>
      <c r="D9" s="3" t="s">
        <v>56</v>
      </c>
      <c r="E9" s="3" t="s">
        <v>57</v>
      </c>
      <c r="F9" s="3" t="s">
        <v>19</v>
      </c>
      <c r="G9" s="3" t="s">
        <v>19</v>
      </c>
      <c r="H9" s="3" t="s">
        <v>22</v>
      </c>
      <c r="I9" s="3" t="s">
        <v>5</v>
      </c>
      <c r="Q9" s="2" t="s">
        <v>2</v>
      </c>
    </row>
    <row r="10" spans="1:17" x14ac:dyDescent="0.25">
      <c r="A10" s="3" t="s">
        <v>58</v>
      </c>
      <c r="B10" s="3">
        <v>1</v>
      </c>
      <c r="C10" s="3">
        <f>-B10</f>
        <v>-1</v>
      </c>
      <c r="D10" s="3">
        <f>B10</f>
        <v>1</v>
      </c>
      <c r="E10" s="3">
        <f>0.35*B10</f>
        <v>0.35</v>
      </c>
      <c r="F10" s="3">
        <v>-0.03</v>
      </c>
      <c r="G10" s="3">
        <f>-F10</f>
        <v>0.03</v>
      </c>
      <c r="H10" s="3">
        <f>-12*B10</f>
        <v>-12</v>
      </c>
      <c r="I10" s="3">
        <f>-H10</f>
        <v>12</v>
      </c>
      <c r="Q10" s="2" t="s">
        <v>2</v>
      </c>
    </row>
    <row r="11" spans="1:17" x14ac:dyDescent="0.25">
      <c r="A11" s="3" t="s">
        <v>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</v>
      </c>
      <c r="H11" s="3">
        <v>0</v>
      </c>
      <c r="I11" s="3">
        <v>0</v>
      </c>
      <c r="Q11" s="2" t="s">
        <v>2</v>
      </c>
    </row>
    <row r="12" spans="1:17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64</v>
      </c>
      <c r="C13" s="14" t="s">
        <v>59</v>
      </c>
      <c r="D13" s="14" t="s">
        <v>64</v>
      </c>
      <c r="E13" s="14" t="s">
        <v>64</v>
      </c>
      <c r="F13" s="14" t="s">
        <v>64</v>
      </c>
      <c r="G13" s="14" t="s">
        <v>64</v>
      </c>
      <c r="H13" s="14" t="s">
        <v>59</v>
      </c>
      <c r="I13" s="14" t="s">
        <v>1</v>
      </c>
      <c r="N13" s="1"/>
      <c r="Q13" s="2" t="s">
        <v>2</v>
      </c>
    </row>
    <row r="14" spans="1:17" x14ac:dyDescent="0.25">
      <c r="Q14" s="2" t="s">
        <v>2</v>
      </c>
    </row>
    <row r="15" spans="1:17" ht="52.8" x14ac:dyDescent="0.25">
      <c r="A15" s="3" t="s">
        <v>3</v>
      </c>
      <c r="B15" s="3" t="s">
        <v>37</v>
      </c>
      <c r="C15" s="3" t="s">
        <v>37</v>
      </c>
      <c r="D15" s="3" t="s">
        <v>56</v>
      </c>
      <c r="E15" s="3" t="s">
        <v>57</v>
      </c>
      <c r="F15" s="3" t="s">
        <v>19</v>
      </c>
      <c r="G15" s="3" t="s">
        <v>19</v>
      </c>
      <c r="H15" s="3" t="s">
        <v>38</v>
      </c>
      <c r="I15" s="3" t="s">
        <v>5</v>
      </c>
      <c r="Q15" s="2" t="s">
        <v>2</v>
      </c>
    </row>
    <row r="16" spans="1:17" x14ac:dyDescent="0.25">
      <c r="A16" s="3" t="s">
        <v>60</v>
      </c>
      <c r="B16" s="3">
        <v>1</v>
      </c>
      <c r="C16" s="3">
        <f>-B16</f>
        <v>-1</v>
      </c>
      <c r="D16" s="3">
        <f>B16</f>
        <v>1</v>
      </c>
      <c r="E16" s="3">
        <v>0.5</v>
      </c>
      <c r="F16" s="3">
        <v>-0.03</v>
      </c>
      <c r="G16" s="3">
        <f>-F16</f>
        <v>0.03</v>
      </c>
      <c r="H16" s="3">
        <f>-19*B16</f>
        <v>-19</v>
      </c>
      <c r="I16" s="3">
        <f>-H16</f>
        <v>19</v>
      </c>
      <c r="Q16" s="2" t="s">
        <v>2</v>
      </c>
    </row>
    <row r="17" spans="1:17" x14ac:dyDescent="0.25">
      <c r="A17" s="3" t="s">
        <v>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</v>
      </c>
      <c r="H17" s="3">
        <v>0</v>
      </c>
      <c r="I17" s="3">
        <v>0</v>
      </c>
      <c r="Q17" s="2" t="s">
        <v>2</v>
      </c>
    </row>
    <row r="18" spans="1:17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20</v>
      </c>
      <c r="Q18" s="2" t="s">
        <v>2</v>
      </c>
    </row>
    <row r="19" spans="1:17" x14ac:dyDescent="0.25">
      <c r="A19" s="14" t="s">
        <v>9</v>
      </c>
      <c r="B19" s="14" t="s">
        <v>64</v>
      </c>
      <c r="C19" s="14" t="s">
        <v>59</v>
      </c>
      <c r="D19" s="14" t="s">
        <v>64</v>
      </c>
      <c r="E19" s="14" t="s">
        <v>64</v>
      </c>
      <c r="F19" s="14" t="s">
        <v>64</v>
      </c>
      <c r="G19" s="14" t="s">
        <v>64</v>
      </c>
      <c r="H19" s="14" t="s">
        <v>59</v>
      </c>
      <c r="I19" s="14" t="s">
        <v>1</v>
      </c>
      <c r="Q19" s="2" t="s">
        <v>2</v>
      </c>
    </row>
    <row r="20" spans="1:17" x14ac:dyDescent="0.25">
      <c r="Q20" s="2" t="s">
        <v>2</v>
      </c>
    </row>
    <row r="21" spans="1:17" ht="52.8" x14ac:dyDescent="0.25">
      <c r="A21" s="3" t="s">
        <v>3</v>
      </c>
      <c r="B21" s="3" t="s">
        <v>16</v>
      </c>
      <c r="C21" s="3" t="s">
        <v>16</v>
      </c>
      <c r="D21" s="3" t="s">
        <v>56</v>
      </c>
      <c r="E21" s="3" t="s">
        <v>57</v>
      </c>
      <c r="F21" s="3" t="s">
        <v>19</v>
      </c>
      <c r="G21" s="3" t="s">
        <v>19</v>
      </c>
      <c r="H21" s="3" t="s">
        <v>22</v>
      </c>
      <c r="I21" s="3" t="s">
        <v>5</v>
      </c>
      <c r="Q21" s="2" t="s">
        <v>2</v>
      </c>
    </row>
    <row r="22" spans="1:17" x14ac:dyDescent="0.25">
      <c r="A22" s="3" t="s">
        <v>61</v>
      </c>
      <c r="B22" s="3">
        <v>-1</v>
      </c>
      <c r="C22" s="3">
        <f>-B22</f>
        <v>1</v>
      </c>
      <c r="D22" s="3">
        <f>B22</f>
        <v>-1</v>
      </c>
      <c r="E22" s="3">
        <f>0.35*B22</f>
        <v>-0.35</v>
      </c>
      <c r="F22" s="3">
        <v>-0.03</v>
      </c>
      <c r="G22" s="3">
        <f>-F22</f>
        <v>0.03</v>
      </c>
      <c r="H22" s="3">
        <f>-12*B22</f>
        <v>12</v>
      </c>
      <c r="I22" s="3">
        <f>-H22</f>
        <v>-12</v>
      </c>
      <c r="Q22" s="2" t="s">
        <v>2</v>
      </c>
    </row>
    <row r="23" spans="1:17" x14ac:dyDescent="0.25">
      <c r="A23" s="3" t="s">
        <v>7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</v>
      </c>
      <c r="H23" s="3">
        <v>0</v>
      </c>
      <c r="I23" s="3">
        <v>0</v>
      </c>
      <c r="Q23" s="2" t="s">
        <v>2</v>
      </c>
    </row>
    <row r="24" spans="1:17" x14ac:dyDescent="0.25">
      <c r="A24" s="3" t="s">
        <v>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20</v>
      </c>
      <c r="Q24" s="2" t="s">
        <v>2</v>
      </c>
    </row>
    <row r="25" spans="1:17" x14ac:dyDescent="0.25">
      <c r="A25" s="14" t="s">
        <v>9</v>
      </c>
      <c r="B25" s="14" t="s">
        <v>64</v>
      </c>
      <c r="C25" s="14" t="s">
        <v>59</v>
      </c>
      <c r="D25" s="14" t="s">
        <v>64</v>
      </c>
      <c r="E25" s="14" t="s">
        <v>64</v>
      </c>
      <c r="F25" s="14" t="s">
        <v>64</v>
      </c>
      <c r="G25" s="14" t="s">
        <v>64</v>
      </c>
      <c r="H25" s="14" t="s">
        <v>59</v>
      </c>
      <c r="I25" s="14" t="s">
        <v>1</v>
      </c>
      <c r="Q25" s="2" t="s">
        <v>2</v>
      </c>
    </row>
    <row r="26" spans="1:17" x14ac:dyDescent="0.25">
      <c r="Q26" s="2" t="s">
        <v>2</v>
      </c>
    </row>
    <row r="27" spans="1:17" ht="52.8" x14ac:dyDescent="0.25">
      <c r="A27" s="3" t="s">
        <v>3</v>
      </c>
      <c r="B27" s="3" t="s">
        <v>37</v>
      </c>
      <c r="C27" s="3" t="s">
        <v>37</v>
      </c>
      <c r="D27" s="3" t="s">
        <v>56</v>
      </c>
      <c r="E27" s="3" t="s">
        <v>57</v>
      </c>
      <c r="F27" s="3" t="s">
        <v>19</v>
      </c>
      <c r="G27" s="3" t="s">
        <v>19</v>
      </c>
      <c r="H27" s="3" t="s">
        <v>38</v>
      </c>
      <c r="I27" s="3" t="s">
        <v>5</v>
      </c>
      <c r="Q27" s="2" t="s">
        <v>2</v>
      </c>
    </row>
    <row r="28" spans="1:17" x14ac:dyDescent="0.25">
      <c r="A28" s="3" t="s">
        <v>62</v>
      </c>
      <c r="B28" s="3">
        <v>-1</v>
      </c>
      <c r="C28" s="3">
        <f>-B28</f>
        <v>1</v>
      </c>
      <c r="D28" s="3">
        <f>B28</f>
        <v>-1</v>
      </c>
      <c r="E28" s="3">
        <v>-0.5</v>
      </c>
      <c r="F28" s="3">
        <v>-0.03</v>
      </c>
      <c r="G28" s="3">
        <f>-F28</f>
        <v>0.03</v>
      </c>
      <c r="H28" s="3">
        <f>-19*B28</f>
        <v>19</v>
      </c>
      <c r="I28" s="3">
        <f>-H28</f>
        <v>-19</v>
      </c>
      <c r="Q28" s="2" t="s">
        <v>2</v>
      </c>
    </row>
    <row r="29" spans="1:17" x14ac:dyDescent="0.25">
      <c r="A29" s="3" t="s">
        <v>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1</v>
      </c>
      <c r="H29" s="3">
        <v>0</v>
      </c>
      <c r="I29" s="3">
        <v>0</v>
      </c>
      <c r="Q29" s="2" t="s">
        <v>2</v>
      </c>
    </row>
    <row r="30" spans="1:17" x14ac:dyDescent="0.25">
      <c r="A30" s="3" t="s">
        <v>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20</v>
      </c>
      <c r="Q30" s="2" t="s">
        <v>2</v>
      </c>
    </row>
    <row r="31" spans="1:17" x14ac:dyDescent="0.25">
      <c r="A31" s="14" t="s">
        <v>9</v>
      </c>
      <c r="B31" s="14" t="s">
        <v>64</v>
      </c>
      <c r="C31" s="14" t="s">
        <v>59</v>
      </c>
      <c r="D31" s="14" t="s">
        <v>64</v>
      </c>
      <c r="E31" s="14" t="s">
        <v>64</v>
      </c>
      <c r="F31" s="14" t="s">
        <v>64</v>
      </c>
      <c r="G31" s="14" t="s">
        <v>64</v>
      </c>
      <c r="H31" s="14" t="s">
        <v>59</v>
      </c>
      <c r="I31" s="14" t="s">
        <v>1</v>
      </c>
      <c r="Q31" s="2" t="s">
        <v>2</v>
      </c>
    </row>
    <row r="32" spans="1:17" x14ac:dyDescent="0.25">
      <c r="Q32" s="2" t="s">
        <v>2</v>
      </c>
    </row>
    <row r="33" spans="1:256" x14ac:dyDescent="0.25">
      <c r="A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2" t="s">
        <v>2</v>
      </c>
    </row>
    <row r="34" spans="1:256" x14ac:dyDescent="0.25">
      <c r="A34" s="3" t="s">
        <v>10</v>
      </c>
      <c r="B34" s="3" t="s">
        <v>11</v>
      </c>
      <c r="C34" s="3" t="s">
        <v>12</v>
      </c>
      <c r="D34" s="4">
        <v>0</v>
      </c>
      <c r="E34" s="4">
        <v>1</v>
      </c>
      <c r="F34" s="4">
        <v>2</v>
      </c>
      <c r="G34" s="4">
        <v>3</v>
      </c>
      <c r="H34" s="4">
        <v>4</v>
      </c>
      <c r="I34" s="4">
        <v>5</v>
      </c>
      <c r="J34" s="4">
        <v>6</v>
      </c>
      <c r="K34" s="4">
        <v>7</v>
      </c>
      <c r="L34" s="4">
        <v>8</v>
      </c>
      <c r="M34" s="4">
        <v>9</v>
      </c>
      <c r="N34" s="4">
        <v>10</v>
      </c>
      <c r="O34" s="4">
        <v>11</v>
      </c>
      <c r="P34" s="4">
        <v>12</v>
      </c>
      <c r="Q34" s="2" t="s">
        <v>2</v>
      </c>
    </row>
    <row r="35" spans="1:256" x14ac:dyDescent="0.25">
      <c r="A35" s="3" t="s">
        <v>16</v>
      </c>
      <c r="B35" s="3">
        <v>0</v>
      </c>
      <c r="C35" s="3">
        <v>1000000000</v>
      </c>
      <c r="D35" s="4"/>
      <c r="E35" s="4">
        <v>0</v>
      </c>
      <c r="F35" s="4">
        <v>0</v>
      </c>
      <c r="G35" s="4">
        <v>0</v>
      </c>
      <c r="H35" s="4"/>
      <c r="I35" s="4"/>
      <c r="J35" s="4"/>
      <c r="K35" s="4"/>
      <c r="L35" s="4"/>
      <c r="M35" s="4"/>
      <c r="N35" s="4"/>
      <c r="O35" s="4"/>
      <c r="P35" s="4"/>
      <c r="Q35" s="2" t="s">
        <v>2</v>
      </c>
    </row>
    <row r="36" spans="1:256" x14ac:dyDescent="0.25">
      <c r="A36" s="3" t="s">
        <v>37</v>
      </c>
      <c r="B36" s="3">
        <v>0</v>
      </c>
      <c r="C36" s="3">
        <v>1000000000</v>
      </c>
      <c r="D36" s="3"/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2" t="s">
        <v>2</v>
      </c>
    </row>
    <row r="37" spans="1:256" x14ac:dyDescent="0.25">
      <c r="A37" s="3" t="s">
        <v>56</v>
      </c>
      <c r="B37" s="3">
        <v>0</v>
      </c>
      <c r="C37" s="3">
        <v>24</v>
      </c>
      <c r="D37" s="3"/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2" t="s">
        <v>2</v>
      </c>
    </row>
    <row r="38" spans="1:256" x14ac:dyDescent="0.25">
      <c r="A38" s="3" t="s">
        <v>57</v>
      </c>
      <c r="B38" s="3">
        <v>0</v>
      </c>
      <c r="C38" s="3">
        <v>15</v>
      </c>
      <c r="D38" s="3"/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2" t="s">
        <v>2</v>
      </c>
    </row>
    <row r="39" spans="1:256" x14ac:dyDescent="0.25">
      <c r="A39" s="3" t="s">
        <v>53</v>
      </c>
      <c r="B39" s="3">
        <v>-1000000000</v>
      </c>
      <c r="C39" s="3">
        <v>1000000000</v>
      </c>
      <c r="D39" s="3"/>
      <c r="E39" s="3">
        <v>6966</v>
      </c>
      <c r="F39" s="3">
        <v>9431</v>
      </c>
      <c r="G39" s="3">
        <v>2212</v>
      </c>
      <c r="H39" s="3">
        <v>-2212</v>
      </c>
      <c r="I39" s="3"/>
      <c r="J39" s="3"/>
      <c r="K39" s="3"/>
      <c r="L39" s="3"/>
      <c r="M39" s="3"/>
      <c r="N39" s="3"/>
      <c r="O39" s="3"/>
      <c r="P39" s="3"/>
      <c r="Q39" s="2" t="s">
        <v>2</v>
      </c>
    </row>
    <row r="40" spans="1:256" s="16" customFormat="1" x14ac:dyDescent="0.25">
      <c r="A40" s="16" t="s">
        <v>19</v>
      </c>
      <c r="B40" s="16">
        <v>0</v>
      </c>
      <c r="C40" s="16">
        <v>150</v>
      </c>
      <c r="D40" s="16">
        <v>150</v>
      </c>
      <c r="E40" s="16">
        <v>49.045714285714283</v>
      </c>
      <c r="F40" s="16">
        <v>9.5114285714285955</v>
      </c>
      <c r="G40" s="16">
        <v>115.52</v>
      </c>
      <c r="H40" s="16">
        <v>34.479999999999997</v>
      </c>
      <c r="Q40" s="16" t="s">
        <v>2</v>
      </c>
    </row>
    <row r="41" spans="1:256" s="8" customFormat="1" x14ac:dyDescent="0.25">
      <c r="A41" s="5" t="s">
        <v>54</v>
      </c>
      <c r="B41" s="5">
        <v>-1000000000</v>
      </c>
      <c r="C41" s="5">
        <v>1000000000</v>
      </c>
      <c r="D41" s="5"/>
      <c r="E41" s="5">
        <v>10449</v>
      </c>
      <c r="F41" s="5">
        <v>14146.5</v>
      </c>
      <c r="G41" s="5">
        <v>3318</v>
      </c>
      <c r="H41" s="5">
        <v>-3318</v>
      </c>
      <c r="I41" s="5"/>
      <c r="J41" s="5"/>
      <c r="K41" s="5"/>
      <c r="L41" s="5"/>
      <c r="M41" s="5"/>
      <c r="N41" s="5"/>
      <c r="O41" s="5"/>
      <c r="P41" s="5"/>
      <c r="Q41" s="7" t="s">
        <v>2</v>
      </c>
    </row>
    <row r="42" spans="1:256" s="12" customFormat="1" x14ac:dyDescent="0.25">
      <c r="A42" s="9" t="s">
        <v>21</v>
      </c>
      <c r="B42" s="9">
        <v>-1000000000</v>
      </c>
      <c r="C42" s="9">
        <v>1000000000</v>
      </c>
      <c r="D42" s="10"/>
      <c r="E42" s="9">
        <v>5572.7999999999993</v>
      </c>
      <c r="F42" s="9">
        <v>7544.8</v>
      </c>
      <c r="G42" s="9">
        <v>1769.6000000000001</v>
      </c>
      <c r="H42" s="9">
        <v>-1769.6000000000001</v>
      </c>
      <c r="I42" s="9"/>
      <c r="J42" s="9"/>
      <c r="K42" s="9"/>
      <c r="L42" s="9"/>
      <c r="M42" s="9"/>
      <c r="N42" s="9"/>
      <c r="O42" s="9"/>
      <c r="P42" s="9"/>
      <c r="Q42" s="11" t="s">
        <v>2</v>
      </c>
    </row>
    <row r="43" spans="1:256" x14ac:dyDescent="0.25">
      <c r="Q43" s="2" t="s">
        <v>2</v>
      </c>
    </row>
    <row r="44" spans="1:256" s="2" customFormat="1" x14ac:dyDescent="0.25">
      <c r="A44" s="2" t="s">
        <v>2</v>
      </c>
      <c r="B44" s="2" t="s">
        <v>2</v>
      </c>
      <c r="C44" s="2" t="s">
        <v>2</v>
      </c>
      <c r="D44" s="2" t="s">
        <v>2</v>
      </c>
      <c r="E44" s="2" t="s">
        <v>2</v>
      </c>
      <c r="F44" s="2" t="s">
        <v>2</v>
      </c>
      <c r="G44" s="2" t="s">
        <v>2</v>
      </c>
      <c r="H44" s="2" t="s">
        <v>2</v>
      </c>
      <c r="I44" s="2" t="s">
        <v>2</v>
      </c>
      <c r="J44" s="2" t="s">
        <v>2</v>
      </c>
      <c r="K44" s="2" t="s">
        <v>2</v>
      </c>
      <c r="L44" s="2" t="s">
        <v>2</v>
      </c>
      <c r="M44" s="2" t="s">
        <v>2</v>
      </c>
      <c r="N44" s="2" t="s">
        <v>2</v>
      </c>
      <c r="O44" s="2" t="s">
        <v>2</v>
      </c>
      <c r="P44" s="2" t="s">
        <v>2</v>
      </c>
      <c r="Q44" s="2" t="s">
        <v>2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A22CA-FC66-4075-9D55-4FA7851523F5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65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1000</v>
      </c>
      <c r="H4" s="3">
        <f>-G4</f>
        <v>-1000</v>
      </c>
      <c r="I4" s="3">
        <v>-12</v>
      </c>
      <c r="J4" s="3">
        <f>G4</f>
        <v>1000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65</v>
      </c>
      <c r="C7" s="14" t="s">
        <v>65</v>
      </c>
      <c r="D7" s="14" t="s">
        <v>65</v>
      </c>
      <c r="E7" s="14" t="s">
        <v>65</v>
      </c>
      <c r="F7" s="14" t="s">
        <v>65</v>
      </c>
      <c r="G7" s="14" t="s">
        <v>65</v>
      </c>
      <c r="H7" s="14" t="s">
        <v>65</v>
      </c>
      <c r="I7" s="14" t="s">
        <v>65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1600</v>
      </c>
      <c r="H10" s="3">
        <f>-G10</f>
        <v>-1600</v>
      </c>
      <c r="I10" s="3">
        <v>-19</v>
      </c>
      <c r="J10" s="3">
        <f>G10</f>
        <v>1600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65</v>
      </c>
      <c r="C13" s="14" t="s">
        <v>65</v>
      </c>
      <c r="D13" s="14" t="s">
        <v>65</v>
      </c>
      <c r="E13" s="14" t="s">
        <v>65</v>
      </c>
      <c r="F13" s="14" t="s">
        <v>65</v>
      </c>
      <c r="G13" s="14" t="s">
        <v>65</v>
      </c>
      <c r="H13" s="14" t="s">
        <v>65</v>
      </c>
      <c r="I13" s="14" t="s">
        <v>65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0</v>
      </c>
      <c r="F18" s="3">
        <v>1</v>
      </c>
      <c r="G18" s="3">
        <v>22</v>
      </c>
      <c r="H18" s="3"/>
      <c r="I18" s="3"/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2</v>
      </c>
      <c r="F19" s="3">
        <v>41</v>
      </c>
      <c r="G19" s="3">
        <v>21</v>
      </c>
      <c r="H19" s="3"/>
      <c r="I19" s="3"/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20000</v>
      </c>
      <c r="F20" s="5">
        <v>22000</v>
      </c>
      <c r="G20" s="5">
        <v>24000</v>
      </c>
      <c r="H20" s="5">
        <v>-24000</v>
      </c>
      <c r="I20" s="5"/>
      <c r="J20" s="5"/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24000</v>
      </c>
      <c r="F21" s="5">
        <v>27200</v>
      </c>
      <c r="G21" s="5">
        <v>32000</v>
      </c>
      <c r="H21" s="5">
        <v>-32000</v>
      </c>
      <c r="I21" s="5"/>
      <c r="J21" s="5"/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0</v>
      </c>
      <c r="F22" s="5">
        <v>12</v>
      </c>
      <c r="G22" s="5">
        <v>264</v>
      </c>
      <c r="H22" s="5"/>
      <c r="I22" s="5"/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38</v>
      </c>
      <c r="F23" s="5">
        <v>779</v>
      </c>
      <c r="G23" s="5">
        <v>399</v>
      </c>
      <c r="H23" s="5"/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20</v>
      </c>
      <c r="F24" s="3">
        <v>22</v>
      </c>
      <c r="G24" s="3">
        <v>24</v>
      </c>
      <c r="H24" s="3">
        <v>-24</v>
      </c>
      <c r="I24" s="3"/>
      <c r="J24" s="3"/>
      <c r="K24" s="3"/>
      <c r="L24" s="3"/>
      <c r="M24" s="3"/>
      <c r="N24" s="3"/>
      <c r="O24" s="3"/>
      <c r="P24" s="3"/>
      <c r="Q24" s="2" t="s">
        <v>2</v>
      </c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15</v>
      </c>
      <c r="F25" s="3">
        <v>17</v>
      </c>
      <c r="G25" s="3">
        <v>20</v>
      </c>
      <c r="H25" s="3">
        <v>-20</v>
      </c>
      <c r="I25" s="3"/>
      <c r="J25" s="3"/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20</v>
      </c>
      <c r="F26" s="3">
        <v>22</v>
      </c>
      <c r="G26" s="3">
        <v>24</v>
      </c>
      <c r="H26" s="3">
        <v>-24</v>
      </c>
      <c r="I26" s="3"/>
      <c r="J26" s="3"/>
      <c r="K26" s="3"/>
      <c r="L26" s="3"/>
      <c r="M26" s="3"/>
      <c r="N26" s="3"/>
      <c r="O26" s="3"/>
      <c r="P26" s="3"/>
      <c r="Q26" s="2" t="s">
        <v>2</v>
      </c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15</v>
      </c>
      <c r="F27" s="3">
        <v>17</v>
      </c>
      <c r="G27" s="3">
        <v>20</v>
      </c>
      <c r="H27" s="3">
        <v>-20</v>
      </c>
      <c r="I27" s="3"/>
      <c r="J27" s="3"/>
      <c r="K27" s="3"/>
      <c r="L27" s="3"/>
      <c r="M27" s="3"/>
      <c r="N27" s="3"/>
      <c r="O27" s="3"/>
      <c r="P27" s="3"/>
      <c r="Q27" s="2" t="s">
        <v>2</v>
      </c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B58BE-BF4D-42D1-8671-763F1A3F680C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74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700</v>
      </c>
      <c r="H4" s="3">
        <f>-G4</f>
        <v>-700</v>
      </c>
      <c r="I4" s="3">
        <v>-12</v>
      </c>
      <c r="J4" s="3">
        <f>G4</f>
        <v>700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74</v>
      </c>
      <c r="C7" s="14" t="s">
        <v>74</v>
      </c>
      <c r="D7" s="14" t="s">
        <v>74</v>
      </c>
      <c r="E7" s="14" t="s">
        <v>74</v>
      </c>
      <c r="F7" s="14" t="s">
        <v>74</v>
      </c>
      <c r="G7" s="14" t="s">
        <v>74</v>
      </c>
      <c r="H7" s="14" t="s">
        <v>74</v>
      </c>
      <c r="I7" s="14" t="s">
        <v>74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1300</v>
      </c>
      <c r="H10" s="3">
        <f>-G10</f>
        <v>-1300</v>
      </c>
      <c r="I10" s="3">
        <v>-19</v>
      </c>
      <c r="J10" s="3">
        <f>G10</f>
        <v>1300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74</v>
      </c>
      <c r="C13" s="14" t="s">
        <v>74</v>
      </c>
      <c r="D13" s="14" t="s">
        <v>74</v>
      </c>
      <c r="E13" s="14" t="s">
        <v>74</v>
      </c>
      <c r="F13" s="14" t="s">
        <v>74</v>
      </c>
      <c r="G13" s="14" t="s">
        <v>74</v>
      </c>
      <c r="H13" s="14" t="s">
        <v>74</v>
      </c>
      <c r="I13" s="14" t="s">
        <v>74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1</v>
      </c>
      <c r="F18" s="3">
        <v>69</v>
      </c>
      <c r="G18" s="3">
        <v>96</v>
      </c>
      <c r="H18" s="3"/>
      <c r="I18" s="3"/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2</v>
      </c>
      <c r="F19" s="3">
        <v>2</v>
      </c>
      <c r="G19" s="3">
        <v>1</v>
      </c>
      <c r="H19" s="3"/>
      <c r="I19" s="3"/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14000</v>
      </c>
      <c r="F20" s="5">
        <v>15400</v>
      </c>
      <c r="G20" s="5">
        <v>14000</v>
      </c>
      <c r="H20" s="5">
        <v>-14000</v>
      </c>
      <c r="I20" s="5"/>
      <c r="J20" s="5"/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18200</v>
      </c>
      <c r="F21" s="5">
        <v>22100</v>
      </c>
      <c r="G21" s="5">
        <v>20800</v>
      </c>
      <c r="H21" s="5">
        <v>-20800</v>
      </c>
      <c r="I21" s="5"/>
      <c r="J21" s="5"/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12</v>
      </c>
      <c r="F22" s="5">
        <v>828</v>
      </c>
      <c r="G22" s="5">
        <v>1152</v>
      </c>
      <c r="H22" s="5"/>
      <c r="I22" s="5"/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38</v>
      </c>
      <c r="F23" s="5">
        <v>38</v>
      </c>
      <c r="G23" s="5">
        <v>19</v>
      </c>
      <c r="H23" s="5"/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20</v>
      </c>
      <c r="F24" s="3">
        <v>22</v>
      </c>
      <c r="G24" s="3">
        <v>20</v>
      </c>
      <c r="H24" s="3">
        <v>-20</v>
      </c>
      <c r="I24" s="3"/>
      <c r="J24" s="3"/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14</v>
      </c>
      <c r="F25" s="3">
        <v>17</v>
      </c>
      <c r="G25" s="3">
        <v>16</v>
      </c>
      <c r="H25" s="3">
        <v>-16</v>
      </c>
      <c r="I25" s="3"/>
      <c r="J25" s="3"/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20</v>
      </c>
      <c r="F26" s="3">
        <v>22</v>
      </c>
      <c r="G26" s="3">
        <v>20</v>
      </c>
      <c r="H26" s="3">
        <v>-20</v>
      </c>
      <c r="I26" s="3"/>
      <c r="J26" s="3"/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14</v>
      </c>
      <c r="F27" s="3">
        <v>17</v>
      </c>
      <c r="G27" s="3">
        <v>16</v>
      </c>
      <c r="H27" s="3">
        <v>-16</v>
      </c>
      <c r="I27" s="3"/>
      <c r="J27" s="3"/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66B0D-3E66-4568-9BE8-8019C1EA9081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75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900</v>
      </c>
      <c r="H4" s="3">
        <f>-G4</f>
        <v>-900</v>
      </c>
      <c r="I4" s="3">
        <v>-12</v>
      </c>
      <c r="J4" s="3">
        <f>G4</f>
        <v>900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75</v>
      </c>
      <c r="C7" s="14" t="s">
        <v>75</v>
      </c>
      <c r="D7" s="14" t="s">
        <v>75</v>
      </c>
      <c r="E7" s="14" t="s">
        <v>75</v>
      </c>
      <c r="F7" s="14" t="s">
        <v>75</v>
      </c>
      <c r="G7" s="14" t="s">
        <v>75</v>
      </c>
      <c r="H7" s="14" t="s">
        <v>75</v>
      </c>
      <c r="I7" s="14" t="s">
        <v>75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1500</v>
      </c>
      <c r="H10" s="3">
        <f>-G10</f>
        <v>-1500</v>
      </c>
      <c r="I10" s="3">
        <v>-19</v>
      </c>
      <c r="J10" s="3">
        <f>G10</f>
        <v>1500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75</v>
      </c>
      <c r="C13" s="14" t="s">
        <v>75</v>
      </c>
      <c r="D13" s="14" t="s">
        <v>75</v>
      </c>
      <c r="E13" s="14" t="s">
        <v>75</v>
      </c>
      <c r="F13" s="14" t="s">
        <v>75</v>
      </c>
      <c r="G13" s="14" t="s">
        <v>75</v>
      </c>
      <c r="H13" s="14" t="s">
        <v>75</v>
      </c>
      <c r="I13" s="14" t="s">
        <v>75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2</v>
      </c>
      <c r="F18" s="3">
        <v>55</v>
      </c>
      <c r="G18" s="3">
        <v>34</v>
      </c>
      <c r="H18" s="3"/>
      <c r="I18" s="3"/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0</v>
      </c>
      <c r="F19" s="3">
        <v>23</v>
      </c>
      <c r="G19" s="3">
        <v>11</v>
      </c>
      <c r="H19" s="3"/>
      <c r="I19" s="3"/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21600</v>
      </c>
      <c r="F20" s="5">
        <v>21600</v>
      </c>
      <c r="G20" s="5">
        <v>18900</v>
      </c>
      <c r="H20" s="5">
        <v>-18900</v>
      </c>
      <c r="I20" s="5"/>
      <c r="J20" s="5"/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21000</v>
      </c>
      <c r="F21" s="5">
        <v>19500</v>
      </c>
      <c r="G21" s="5">
        <v>18000</v>
      </c>
      <c r="H21" s="5">
        <v>-18000</v>
      </c>
      <c r="I21" s="5"/>
      <c r="J21" s="5"/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24</v>
      </c>
      <c r="F22" s="5">
        <v>660</v>
      </c>
      <c r="G22" s="5">
        <v>408</v>
      </c>
      <c r="H22" s="5"/>
      <c r="I22" s="5"/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0</v>
      </c>
      <c r="F23" s="5">
        <v>437</v>
      </c>
      <c r="G23" s="5">
        <v>209</v>
      </c>
      <c r="H23" s="5"/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24</v>
      </c>
      <c r="F24" s="3">
        <v>24</v>
      </c>
      <c r="G24" s="3">
        <v>21</v>
      </c>
      <c r="H24" s="3">
        <v>-21</v>
      </c>
      <c r="I24" s="3"/>
      <c r="J24" s="3"/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14</v>
      </c>
      <c r="F25" s="3">
        <v>13</v>
      </c>
      <c r="G25" s="3">
        <v>12</v>
      </c>
      <c r="H25" s="3">
        <v>-12</v>
      </c>
      <c r="I25" s="3"/>
      <c r="J25" s="3"/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24</v>
      </c>
      <c r="F26" s="3">
        <v>24</v>
      </c>
      <c r="G26" s="3">
        <v>21</v>
      </c>
      <c r="H26" s="3">
        <v>-21</v>
      </c>
      <c r="I26" s="3"/>
      <c r="J26" s="3"/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14</v>
      </c>
      <c r="F27" s="3">
        <v>13</v>
      </c>
      <c r="G27" s="3">
        <v>12</v>
      </c>
      <c r="H27" s="3">
        <v>-12</v>
      </c>
      <c r="I27" s="3"/>
      <c r="J27" s="3"/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F8BC8-B65E-4FA8-92F0-8B9DFD60318D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76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900</v>
      </c>
      <c r="H4" s="3">
        <f>-G4</f>
        <v>-900</v>
      </c>
      <c r="I4" s="3">
        <v>-12</v>
      </c>
      <c r="J4" s="3">
        <f>G4</f>
        <v>900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76</v>
      </c>
      <c r="C7" s="14" t="s">
        <v>76</v>
      </c>
      <c r="D7" s="14" t="s">
        <v>76</v>
      </c>
      <c r="E7" s="14" t="s">
        <v>76</v>
      </c>
      <c r="F7" s="14" t="s">
        <v>76</v>
      </c>
      <c r="G7" s="14" t="s">
        <v>76</v>
      </c>
      <c r="H7" s="14" t="s">
        <v>76</v>
      </c>
      <c r="I7" s="14" t="s">
        <v>76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1500</v>
      </c>
      <c r="H10" s="3">
        <f>-G10</f>
        <v>-1500</v>
      </c>
      <c r="I10" s="3">
        <v>-19</v>
      </c>
      <c r="J10" s="3">
        <f>G10</f>
        <v>1500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76</v>
      </c>
      <c r="C13" s="14" t="s">
        <v>76</v>
      </c>
      <c r="D13" s="14" t="s">
        <v>76</v>
      </c>
      <c r="E13" s="14" t="s">
        <v>76</v>
      </c>
      <c r="F13" s="14" t="s">
        <v>76</v>
      </c>
      <c r="G13" s="14" t="s">
        <v>76</v>
      </c>
      <c r="H13" s="14" t="s">
        <v>76</v>
      </c>
      <c r="I13" s="14" t="s">
        <v>76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11</v>
      </c>
      <c r="F18" s="3">
        <v>19</v>
      </c>
      <c r="G18" s="3">
        <v>11</v>
      </c>
      <c r="H18" s="3"/>
      <c r="I18" s="3"/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4</v>
      </c>
      <c r="F19" s="3">
        <v>12</v>
      </c>
      <c r="G19" s="3">
        <v>10</v>
      </c>
      <c r="H19" s="3"/>
      <c r="I19" s="3"/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19800</v>
      </c>
      <c r="F20" s="5">
        <v>19800</v>
      </c>
      <c r="G20" s="5">
        <v>19800</v>
      </c>
      <c r="H20" s="5">
        <v>-19800</v>
      </c>
      <c r="I20" s="5"/>
      <c r="J20" s="5"/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22500</v>
      </c>
      <c r="F21" s="5">
        <v>21000</v>
      </c>
      <c r="G21" s="5">
        <v>22500</v>
      </c>
      <c r="H21" s="5">
        <v>-22500</v>
      </c>
      <c r="I21" s="5"/>
      <c r="J21" s="5"/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132</v>
      </c>
      <c r="F22" s="5">
        <v>228</v>
      </c>
      <c r="G22" s="5">
        <v>132</v>
      </c>
      <c r="H22" s="5"/>
      <c r="I22" s="5"/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76</v>
      </c>
      <c r="F23" s="5">
        <v>228</v>
      </c>
      <c r="G23" s="5">
        <v>190</v>
      </c>
      <c r="H23" s="5"/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22</v>
      </c>
      <c r="F24" s="3">
        <v>22</v>
      </c>
      <c r="G24" s="3">
        <v>22</v>
      </c>
      <c r="H24" s="3">
        <v>-22</v>
      </c>
      <c r="I24" s="3"/>
      <c r="J24" s="3"/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15</v>
      </c>
      <c r="F25" s="3">
        <v>14</v>
      </c>
      <c r="G25" s="3">
        <v>15</v>
      </c>
      <c r="H25" s="3">
        <v>-15</v>
      </c>
      <c r="I25" s="3"/>
      <c r="J25" s="3"/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22</v>
      </c>
      <c r="F26" s="3">
        <v>22</v>
      </c>
      <c r="G26" s="3">
        <v>22</v>
      </c>
      <c r="H26" s="3">
        <v>-22</v>
      </c>
      <c r="I26" s="3"/>
      <c r="J26" s="3"/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15</v>
      </c>
      <c r="F27" s="3">
        <v>14</v>
      </c>
      <c r="G27" s="3">
        <v>15</v>
      </c>
      <c r="H27" s="3">
        <v>-15</v>
      </c>
      <c r="I27" s="3"/>
      <c r="J27" s="3"/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75A62-546F-45C2-A92D-C691E721E9C4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77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1000</v>
      </c>
      <c r="H4" s="3">
        <f>-G4</f>
        <v>-1000</v>
      </c>
      <c r="I4" s="3">
        <v>-12</v>
      </c>
      <c r="J4" s="3">
        <f>G4</f>
        <v>1000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77</v>
      </c>
      <c r="C7" s="14" t="s">
        <v>77</v>
      </c>
      <c r="D7" s="14" t="s">
        <v>77</v>
      </c>
      <c r="E7" s="14" t="s">
        <v>77</v>
      </c>
      <c r="F7" s="14" t="s">
        <v>77</v>
      </c>
      <c r="G7" s="14" t="s">
        <v>77</v>
      </c>
      <c r="H7" s="14" t="s">
        <v>77</v>
      </c>
      <c r="I7" s="14" t="s">
        <v>77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1600</v>
      </c>
      <c r="H10" s="3">
        <f>-G10</f>
        <v>-1600</v>
      </c>
      <c r="I10" s="3">
        <v>-19</v>
      </c>
      <c r="J10" s="3">
        <f>G10</f>
        <v>1600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77</v>
      </c>
      <c r="C13" s="14" t="s">
        <v>77</v>
      </c>
      <c r="D13" s="14" t="s">
        <v>77</v>
      </c>
      <c r="E13" s="14" t="s">
        <v>77</v>
      </c>
      <c r="F13" s="14" t="s">
        <v>77</v>
      </c>
      <c r="G13" s="14" t="s">
        <v>77</v>
      </c>
      <c r="H13" s="14" t="s">
        <v>77</v>
      </c>
      <c r="I13" s="14" t="s">
        <v>77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0</v>
      </c>
      <c r="F18" s="3">
        <v>5</v>
      </c>
      <c r="G18" s="3">
        <v>5</v>
      </c>
      <c r="H18" s="3"/>
      <c r="I18" s="3"/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0</v>
      </c>
      <c r="F19" s="3">
        <v>8</v>
      </c>
      <c r="G19" s="3">
        <v>42</v>
      </c>
      <c r="H19" s="3"/>
      <c r="I19" s="3"/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27000</v>
      </c>
      <c r="F20" s="5">
        <v>26000</v>
      </c>
      <c r="G20" s="5">
        <v>31000</v>
      </c>
      <c r="H20" s="5">
        <v>-31000</v>
      </c>
      <c r="I20" s="5"/>
      <c r="J20" s="5"/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30400</v>
      </c>
      <c r="F21" s="5">
        <v>27200</v>
      </c>
      <c r="G21" s="5">
        <v>33600</v>
      </c>
      <c r="H21" s="5">
        <v>-33600</v>
      </c>
      <c r="I21" s="5"/>
      <c r="J21" s="5"/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0</v>
      </c>
      <c r="F22" s="5">
        <v>60</v>
      </c>
      <c r="G22" s="5">
        <v>60</v>
      </c>
      <c r="H22" s="5"/>
      <c r="I22" s="5"/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0</v>
      </c>
      <c r="F23" s="5">
        <v>152</v>
      </c>
      <c r="G23" s="5">
        <v>798</v>
      </c>
      <c r="H23" s="5"/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29</v>
      </c>
      <c r="F24" s="3">
        <v>26</v>
      </c>
      <c r="G24" s="3">
        <v>31</v>
      </c>
      <c r="H24" s="3">
        <v>-31</v>
      </c>
      <c r="I24" s="3"/>
      <c r="J24" s="3"/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19</v>
      </c>
      <c r="F25" s="3">
        <v>17</v>
      </c>
      <c r="G25" s="3">
        <v>21</v>
      </c>
      <c r="H25" s="3">
        <v>-21</v>
      </c>
      <c r="I25" s="3"/>
      <c r="J25" s="3"/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27</v>
      </c>
      <c r="F26" s="3">
        <v>26</v>
      </c>
      <c r="G26" s="3">
        <v>31</v>
      </c>
      <c r="H26" s="3">
        <v>-31</v>
      </c>
      <c r="I26" s="3"/>
      <c r="J26" s="3"/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19</v>
      </c>
      <c r="F27" s="3">
        <v>17</v>
      </c>
      <c r="G27" s="3">
        <v>21</v>
      </c>
      <c r="H27" s="3">
        <v>-21</v>
      </c>
      <c r="I27" s="3"/>
      <c r="J27" s="3"/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CB529-E6C6-44B4-88FF-223684EA8CD0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78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600</v>
      </c>
      <c r="H4" s="3">
        <f>-G4</f>
        <v>-600</v>
      </c>
      <c r="I4" s="3">
        <v>-12</v>
      </c>
      <c r="J4" s="3">
        <f>G4</f>
        <v>600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78</v>
      </c>
      <c r="C7" s="14" t="s">
        <v>78</v>
      </c>
      <c r="D7" s="14" t="s">
        <v>78</v>
      </c>
      <c r="E7" s="14" t="s">
        <v>78</v>
      </c>
      <c r="F7" s="14" t="s">
        <v>78</v>
      </c>
      <c r="G7" s="14" t="s">
        <v>78</v>
      </c>
      <c r="H7" s="14" t="s">
        <v>78</v>
      </c>
      <c r="I7" s="14" t="s">
        <v>78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1200</v>
      </c>
      <c r="H10" s="3">
        <f>-G10</f>
        <v>-1200</v>
      </c>
      <c r="I10" s="3">
        <v>-19</v>
      </c>
      <c r="J10" s="3">
        <f>G10</f>
        <v>1200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78</v>
      </c>
      <c r="C13" s="14" t="s">
        <v>78</v>
      </c>
      <c r="D13" s="14" t="s">
        <v>78</v>
      </c>
      <c r="E13" s="14" t="s">
        <v>78</v>
      </c>
      <c r="F13" s="14" t="s">
        <v>78</v>
      </c>
      <c r="G13" s="14" t="s">
        <v>78</v>
      </c>
      <c r="H13" s="14" t="s">
        <v>78</v>
      </c>
      <c r="I13" s="14" t="s">
        <v>78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3</v>
      </c>
      <c r="F18" s="3">
        <v>1</v>
      </c>
      <c r="G18" s="3">
        <v>35</v>
      </c>
      <c r="H18" s="3"/>
      <c r="I18" s="3"/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0</v>
      </c>
      <c r="F19" s="3">
        <v>3</v>
      </c>
      <c r="G19" s="3">
        <v>19</v>
      </c>
      <c r="H19" s="3"/>
      <c r="I19" s="3"/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9600</v>
      </c>
      <c r="F20" s="5">
        <v>10800</v>
      </c>
      <c r="G20" s="5">
        <v>9600</v>
      </c>
      <c r="H20" s="5">
        <v>-9600</v>
      </c>
      <c r="I20" s="5"/>
      <c r="J20" s="5"/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16800</v>
      </c>
      <c r="F21" s="5">
        <v>16800</v>
      </c>
      <c r="G21" s="5">
        <v>15600</v>
      </c>
      <c r="H21" s="5">
        <v>-15600</v>
      </c>
      <c r="I21" s="5"/>
      <c r="J21" s="5"/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36</v>
      </c>
      <c r="F22" s="5">
        <v>12</v>
      </c>
      <c r="G22" s="5">
        <v>420</v>
      </c>
      <c r="H22" s="5"/>
      <c r="I22" s="5"/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0</v>
      </c>
      <c r="F23" s="5">
        <v>57</v>
      </c>
      <c r="G23" s="5">
        <v>361</v>
      </c>
      <c r="H23" s="5"/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16</v>
      </c>
      <c r="F24" s="3">
        <v>18</v>
      </c>
      <c r="G24" s="3">
        <v>16</v>
      </c>
      <c r="H24" s="3">
        <v>-16</v>
      </c>
      <c r="I24" s="3"/>
      <c r="J24" s="3"/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14</v>
      </c>
      <c r="F25" s="3">
        <v>14</v>
      </c>
      <c r="G25" s="3">
        <v>13</v>
      </c>
      <c r="H25" s="3">
        <v>-13</v>
      </c>
      <c r="I25" s="3"/>
      <c r="J25" s="3"/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16</v>
      </c>
      <c r="F26" s="3">
        <v>18</v>
      </c>
      <c r="G26" s="3">
        <v>16</v>
      </c>
      <c r="H26" s="3">
        <v>-16</v>
      </c>
      <c r="I26" s="3"/>
      <c r="J26" s="3"/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14</v>
      </c>
      <c r="F27" s="3">
        <v>14</v>
      </c>
      <c r="G27" s="3">
        <v>13</v>
      </c>
      <c r="H27" s="3">
        <v>-13</v>
      </c>
      <c r="I27" s="3"/>
      <c r="J27" s="3"/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93EA-EFDB-4803-8FA0-1551C8E231F3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79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1100</v>
      </c>
      <c r="H4" s="3">
        <f>-G4</f>
        <v>-1100</v>
      </c>
      <c r="I4" s="3">
        <v>-12</v>
      </c>
      <c r="J4" s="3">
        <f>G4</f>
        <v>1100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79</v>
      </c>
      <c r="C7" s="14" t="s">
        <v>79</v>
      </c>
      <c r="D7" s="14" t="s">
        <v>79</v>
      </c>
      <c r="E7" s="14" t="s">
        <v>79</v>
      </c>
      <c r="F7" s="14" t="s">
        <v>79</v>
      </c>
      <c r="G7" s="14" t="s">
        <v>79</v>
      </c>
      <c r="H7" s="14" t="s">
        <v>79</v>
      </c>
      <c r="I7" s="14" t="s">
        <v>79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1300</v>
      </c>
      <c r="H10" s="3">
        <f>-G10</f>
        <v>-1300</v>
      </c>
      <c r="I10" s="3">
        <v>-19</v>
      </c>
      <c r="J10" s="3">
        <f>G10</f>
        <v>1300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79</v>
      </c>
      <c r="C13" s="14" t="s">
        <v>79</v>
      </c>
      <c r="D13" s="14" t="s">
        <v>79</v>
      </c>
      <c r="E13" s="14" t="s">
        <v>79</v>
      </c>
      <c r="F13" s="14" t="s">
        <v>79</v>
      </c>
      <c r="G13" s="14" t="s">
        <v>79</v>
      </c>
      <c r="H13" s="14" t="s">
        <v>79</v>
      </c>
      <c r="I13" s="14" t="s">
        <v>79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2</v>
      </c>
      <c r="F18" s="3">
        <v>49</v>
      </c>
      <c r="G18" s="3">
        <v>28</v>
      </c>
      <c r="H18" s="3"/>
      <c r="I18" s="3"/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0</v>
      </c>
      <c r="F19" s="3">
        <v>3</v>
      </c>
      <c r="G19" s="3">
        <v>5</v>
      </c>
      <c r="H19" s="3"/>
      <c r="I19" s="3"/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20900</v>
      </c>
      <c r="F20" s="5">
        <v>20900</v>
      </c>
      <c r="G20" s="5">
        <v>23100</v>
      </c>
      <c r="H20" s="5">
        <v>-23100</v>
      </c>
      <c r="I20" s="5"/>
      <c r="J20" s="5"/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26000</v>
      </c>
      <c r="F21" s="5">
        <v>23400</v>
      </c>
      <c r="G21" s="5">
        <v>24700</v>
      </c>
      <c r="H21" s="5">
        <v>-24700</v>
      </c>
      <c r="I21" s="5"/>
      <c r="J21" s="5"/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24</v>
      </c>
      <c r="F22" s="5">
        <v>588</v>
      </c>
      <c r="G22" s="5">
        <v>336</v>
      </c>
      <c r="H22" s="5"/>
      <c r="I22" s="5"/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0</v>
      </c>
      <c r="F23" s="5">
        <v>57</v>
      </c>
      <c r="G23" s="5">
        <v>95</v>
      </c>
      <c r="H23" s="5"/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19</v>
      </c>
      <c r="F24" s="3">
        <v>19</v>
      </c>
      <c r="G24" s="3">
        <v>21</v>
      </c>
      <c r="H24" s="3">
        <v>-21</v>
      </c>
      <c r="I24" s="3"/>
      <c r="J24" s="3"/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20</v>
      </c>
      <c r="F25" s="3">
        <v>18</v>
      </c>
      <c r="G25" s="3">
        <v>19</v>
      </c>
      <c r="H25" s="3">
        <v>-19</v>
      </c>
      <c r="I25" s="3"/>
      <c r="J25" s="3"/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19</v>
      </c>
      <c r="F26" s="3">
        <v>19</v>
      </c>
      <c r="G26" s="3">
        <v>21</v>
      </c>
      <c r="H26" s="3">
        <v>-21</v>
      </c>
      <c r="I26" s="3"/>
      <c r="J26" s="3"/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20</v>
      </c>
      <c r="F27" s="3">
        <v>18</v>
      </c>
      <c r="G27" s="3">
        <v>19</v>
      </c>
      <c r="H27" s="3">
        <v>-19</v>
      </c>
      <c r="I27" s="3"/>
      <c r="J27" s="3"/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9B7B3-38D4-4790-94FE-B9B9D01D903D}">
  <dimension ref="A1:IV29"/>
  <sheetViews>
    <sheetView workbookViewId="0">
      <selection activeCell="I13" sqref="I13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80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700</v>
      </c>
      <c r="H4" s="3">
        <f>-G4</f>
        <v>-700</v>
      </c>
      <c r="I4" s="3">
        <v>-12</v>
      </c>
      <c r="J4" s="3">
        <f>G4</f>
        <v>700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80</v>
      </c>
      <c r="C7" s="14" t="s">
        <v>80</v>
      </c>
      <c r="D7" s="14" t="s">
        <v>80</v>
      </c>
      <c r="E7" s="14" t="s">
        <v>80</v>
      </c>
      <c r="F7" s="14" t="s">
        <v>80</v>
      </c>
      <c r="G7" s="14" t="s">
        <v>80</v>
      </c>
      <c r="H7" s="14" t="s">
        <v>80</v>
      </c>
      <c r="I7" s="14" t="s">
        <v>80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1300</v>
      </c>
      <c r="H10" s="3">
        <f>-G10</f>
        <v>-1300</v>
      </c>
      <c r="I10" s="3">
        <v>-19</v>
      </c>
      <c r="J10" s="3">
        <f>G10</f>
        <v>1300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80</v>
      </c>
      <c r="C13" s="14" t="s">
        <v>80</v>
      </c>
      <c r="D13" s="14" t="s">
        <v>80</v>
      </c>
      <c r="E13" s="14" t="s">
        <v>80</v>
      </c>
      <c r="F13" s="14" t="s">
        <v>80</v>
      </c>
      <c r="G13" s="14" t="s">
        <v>80</v>
      </c>
      <c r="H13" s="14" t="s">
        <v>80</v>
      </c>
      <c r="I13" s="14" t="s">
        <v>80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0</v>
      </c>
      <c r="F18" s="3">
        <v>2</v>
      </c>
      <c r="G18" s="3">
        <v>1</v>
      </c>
      <c r="H18" s="3"/>
      <c r="I18" s="3"/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0</v>
      </c>
      <c r="F19" s="3">
        <v>3</v>
      </c>
      <c r="G19" s="3">
        <v>2</v>
      </c>
      <c r="H19" s="3"/>
      <c r="I19" s="3"/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11900</v>
      </c>
      <c r="F20" s="5">
        <v>11200</v>
      </c>
      <c r="G20" s="5">
        <v>14000</v>
      </c>
      <c r="H20" s="5">
        <v>-14000</v>
      </c>
      <c r="I20" s="5"/>
      <c r="J20" s="5"/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22100</v>
      </c>
      <c r="F21" s="5">
        <v>19500</v>
      </c>
      <c r="G21" s="5">
        <v>22100</v>
      </c>
      <c r="H21" s="5">
        <v>-22100</v>
      </c>
      <c r="I21" s="5"/>
      <c r="J21" s="5"/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0</v>
      </c>
      <c r="F22" s="5">
        <v>24</v>
      </c>
      <c r="G22" s="5">
        <v>12</v>
      </c>
      <c r="H22" s="5"/>
      <c r="I22" s="5"/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0</v>
      </c>
      <c r="F23" s="5">
        <v>57</v>
      </c>
      <c r="G23" s="5">
        <v>38</v>
      </c>
      <c r="H23" s="5"/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17</v>
      </c>
      <c r="F24" s="3">
        <v>16</v>
      </c>
      <c r="G24" s="3">
        <v>20</v>
      </c>
      <c r="H24" s="3">
        <v>-20</v>
      </c>
      <c r="I24" s="3"/>
      <c r="J24" s="3"/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17</v>
      </c>
      <c r="F25" s="3">
        <v>15</v>
      </c>
      <c r="G25" s="3">
        <v>17</v>
      </c>
      <c r="H25" s="3">
        <v>-17</v>
      </c>
      <c r="I25" s="3"/>
      <c r="J25" s="3"/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17</v>
      </c>
      <c r="F26" s="3">
        <v>16</v>
      </c>
      <c r="G26" s="3">
        <v>20</v>
      </c>
      <c r="H26" s="3">
        <v>-20</v>
      </c>
      <c r="I26" s="3"/>
      <c r="J26" s="3"/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17</v>
      </c>
      <c r="F27" s="3">
        <v>15</v>
      </c>
      <c r="G27" s="3">
        <v>17</v>
      </c>
      <c r="H27" s="3">
        <v>-17</v>
      </c>
      <c r="I27" s="3"/>
      <c r="J27" s="3"/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35C99-36B6-411D-8305-108B4291B6D3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81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800</v>
      </c>
      <c r="H4" s="3">
        <f>-G4</f>
        <v>-800</v>
      </c>
      <c r="I4" s="3">
        <v>-12</v>
      </c>
      <c r="J4" s="3">
        <f>G4</f>
        <v>800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81</v>
      </c>
      <c r="C7" s="14" t="s">
        <v>81</v>
      </c>
      <c r="D7" s="14" t="s">
        <v>81</v>
      </c>
      <c r="E7" s="14" t="s">
        <v>81</v>
      </c>
      <c r="F7" s="14" t="s">
        <v>81</v>
      </c>
      <c r="G7" s="14" t="s">
        <v>81</v>
      </c>
      <c r="H7" s="14" t="s">
        <v>81</v>
      </c>
      <c r="I7" s="14" t="s">
        <v>81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1400</v>
      </c>
      <c r="H10" s="3">
        <f>-G10</f>
        <v>-1400</v>
      </c>
      <c r="I10" s="3">
        <v>-19</v>
      </c>
      <c r="J10" s="3">
        <f>G10</f>
        <v>1400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81</v>
      </c>
      <c r="C13" s="14" t="s">
        <v>81</v>
      </c>
      <c r="D13" s="14" t="s">
        <v>81</v>
      </c>
      <c r="E13" s="14" t="s">
        <v>81</v>
      </c>
      <c r="F13" s="14" t="s">
        <v>81</v>
      </c>
      <c r="G13" s="14" t="s">
        <v>81</v>
      </c>
      <c r="H13" s="14" t="s">
        <v>81</v>
      </c>
      <c r="I13" s="14" t="s">
        <v>81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0</v>
      </c>
      <c r="F18" s="3">
        <v>2</v>
      </c>
      <c r="G18" s="3">
        <v>3</v>
      </c>
      <c r="H18" s="3"/>
      <c r="I18" s="3"/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23</v>
      </c>
      <c r="F19" s="3">
        <v>8</v>
      </c>
      <c r="G19" s="3">
        <v>13</v>
      </c>
      <c r="H19" s="3"/>
      <c r="I19" s="3"/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15200</v>
      </c>
      <c r="F20" s="5">
        <v>13600</v>
      </c>
      <c r="G20" s="5">
        <v>12000</v>
      </c>
      <c r="H20" s="5">
        <v>-12000</v>
      </c>
      <c r="I20" s="5"/>
      <c r="J20" s="5"/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23800</v>
      </c>
      <c r="F21" s="5">
        <v>21000</v>
      </c>
      <c r="G21" s="5">
        <v>19600</v>
      </c>
      <c r="H21" s="5">
        <v>-19600</v>
      </c>
      <c r="I21" s="5"/>
      <c r="J21" s="5"/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0</v>
      </c>
      <c r="F22" s="5">
        <v>24</v>
      </c>
      <c r="G22" s="5">
        <v>36</v>
      </c>
      <c r="H22" s="5"/>
      <c r="I22" s="5"/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437</v>
      </c>
      <c r="F23" s="5">
        <v>152</v>
      </c>
      <c r="G23" s="5">
        <v>247</v>
      </c>
      <c r="H23" s="5"/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19</v>
      </c>
      <c r="F24" s="3">
        <v>17</v>
      </c>
      <c r="G24" s="3">
        <v>15</v>
      </c>
      <c r="H24" s="3">
        <v>-15</v>
      </c>
      <c r="I24" s="3"/>
      <c r="J24" s="3"/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17</v>
      </c>
      <c r="F25" s="3">
        <v>15</v>
      </c>
      <c r="G25" s="3">
        <v>14</v>
      </c>
      <c r="H25" s="3">
        <v>-14</v>
      </c>
      <c r="I25" s="3"/>
      <c r="J25" s="3"/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19</v>
      </c>
      <c r="F26" s="3">
        <v>17</v>
      </c>
      <c r="G26" s="3">
        <v>15</v>
      </c>
      <c r="H26" s="3">
        <v>-15</v>
      </c>
      <c r="I26" s="3"/>
      <c r="J26" s="3"/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17</v>
      </c>
      <c r="F27" s="3">
        <v>15</v>
      </c>
      <c r="G27" s="3">
        <v>14</v>
      </c>
      <c r="H27" s="3">
        <v>-14</v>
      </c>
      <c r="I27" s="3"/>
      <c r="J27" s="3"/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BEC8-7E4E-488F-BB09-D2A39304BCD3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82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1000</v>
      </c>
      <c r="H4" s="3">
        <f>-G4</f>
        <v>-1000</v>
      </c>
      <c r="I4" s="3">
        <v>-12</v>
      </c>
      <c r="J4" s="3">
        <f>G4</f>
        <v>1000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82</v>
      </c>
      <c r="C7" s="14" t="s">
        <v>82</v>
      </c>
      <c r="D7" s="14" t="s">
        <v>82</v>
      </c>
      <c r="E7" s="14" t="s">
        <v>82</v>
      </c>
      <c r="F7" s="14" t="s">
        <v>82</v>
      </c>
      <c r="G7" s="14" t="s">
        <v>82</v>
      </c>
      <c r="H7" s="14" t="s">
        <v>82</v>
      </c>
      <c r="I7" s="14" t="s">
        <v>82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1600</v>
      </c>
      <c r="H10" s="3">
        <f>-G10</f>
        <v>-1600</v>
      </c>
      <c r="I10" s="3">
        <v>-19</v>
      </c>
      <c r="J10" s="3">
        <f>G10</f>
        <v>1600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82</v>
      </c>
      <c r="C13" s="14" t="s">
        <v>82</v>
      </c>
      <c r="D13" s="14" t="s">
        <v>82</v>
      </c>
      <c r="E13" s="14" t="s">
        <v>82</v>
      </c>
      <c r="F13" s="14" t="s">
        <v>82</v>
      </c>
      <c r="G13" s="14" t="s">
        <v>82</v>
      </c>
      <c r="H13" s="14" t="s">
        <v>82</v>
      </c>
      <c r="I13" s="14" t="s">
        <v>82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0</v>
      </c>
      <c r="F18" s="3">
        <v>6</v>
      </c>
      <c r="G18" s="3">
        <v>5</v>
      </c>
      <c r="H18" s="3"/>
      <c r="I18" s="3"/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0</v>
      </c>
      <c r="F19" s="3">
        <v>34</v>
      </c>
      <c r="G19" s="3">
        <v>18</v>
      </c>
      <c r="H19" s="3"/>
      <c r="I19" s="3"/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25000</v>
      </c>
      <c r="F20" s="5">
        <v>24000</v>
      </c>
      <c r="G20" s="5">
        <v>25000</v>
      </c>
      <c r="H20" s="5">
        <v>-25000</v>
      </c>
      <c r="I20" s="5"/>
      <c r="J20" s="5"/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28800</v>
      </c>
      <c r="F21" s="5">
        <v>24000</v>
      </c>
      <c r="G21" s="5">
        <v>25600</v>
      </c>
      <c r="H21" s="5">
        <v>-25600</v>
      </c>
      <c r="I21" s="5"/>
      <c r="J21" s="5"/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0</v>
      </c>
      <c r="F22" s="5">
        <v>72</v>
      </c>
      <c r="G22" s="5">
        <v>60</v>
      </c>
      <c r="H22" s="5"/>
      <c r="I22" s="5"/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0</v>
      </c>
      <c r="F23" s="5">
        <v>646</v>
      </c>
      <c r="G23" s="5">
        <v>342</v>
      </c>
      <c r="H23" s="5"/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25</v>
      </c>
      <c r="F24" s="3">
        <v>24</v>
      </c>
      <c r="G24" s="3">
        <v>25</v>
      </c>
      <c r="H24" s="3">
        <v>-25</v>
      </c>
      <c r="I24" s="3"/>
      <c r="J24" s="3"/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18</v>
      </c>
      <c r="F25" s="3">
        <v>15</v>
      </c>
      <c r="G25" s="3">
        <v>16</v>
      </c>
      <c r="H25" s="3">
        <v>-16</v>
      </c>
      <c r="I25" s="3"/>
      <c r="J25" s="3"/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25</v>
      </c>
      <c r="F26" s="3">
        <v>24</v>
      </c>
      <c r="G26" s="3">
        <v>25</v>
      </c>
      <c r="H26" s="3">
        <v>-25</v>
      </c>
      <c r="I26" s="3"/>
      <c r="J26" s="3"/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18</v>
      </c>
      <c r="F27" s="3">
        <v>15</v>
      </c>
      <c r="G27" s="3">
        <v>16</v>
      </c>
      <c r="H27" s="3">
        <v>-16</v>
      </c>
      <c r="I27" s="3"/>
      <c r="J27" s="3"/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DD35B-C934-4468-8B8B-F454A7916D0F}">
  <dimension ref="A1:D22"/>
  <sheetViews>
    <sheetView workbookViewId="0">
      <selection activeCell="A18" sqref="A18"/>
    </sheetView>
  </sheetViews>
  <sheetFormatPr baseColWidth="10" defaultColWidth="11.44140625" defaultRowHeight="13.2" x14ac:dyDescent="0.25"/>
  <cols>
    <col min="1" max="1" width="21.6640625" style="20" bestFit="1" customWidth="1"/>
    <col min="2" max="2" width="22.5546875" style="20" bestFit="1" customWidth="1"/>
    <col min="3" max="3" width="5.109375" style="20" customWidth="1"/>
    <col min="4" max="16384" width="11.44140625" style="20"/>
  </cols>
  <sheetData>
    <row r="1" spans="1:4" x14ac:dyDescent="0.25">
      <c r="A1" s="21" t="s">
        <v>83</v>
      </c>
      <c r="B1" s="21" t="s">
        <v>84</v>
      </c>
      <c r="D1" s="2" t="s">
        <v>2</v>
      </c>
    </row>
    <row r="2" spans="1:4" x14ac:dyDescent="0.25">
      <c r="A2" s="20" t="s">
        <v>1</v>
      </c>
      <c r="B2" s="20" t="s">
        <v>1</v>
      </c>
      <c r="D2" s="2" t="s">
        <v>2</v>
      </c>
    </row>
    <row r="3" spans="1:4" x14ac:dyDescent="0.25">
      <c r="A3" s="22" t="s">
        <v>48</v>
      </c>
      <c r="B3" s="20" t="s">
        <v>85</v>
      </c>
      <c r="D3" s="2" t="s">
        <v>2</v>
      </c>
    </row>
    <row r="4" spans="1:4" x14ac:dyDescent="0.25">
      <c r="A4" s="2" t="s">
        <v>86</v>
      </c>
      <c r="B4" s="20" t="s">
        <v>87</v>
      </c>
      <c r="D4" s="2" t="s">
        <v>2</v>
      </c>
    </row>
    <row r="5" spans="1:4" x14ac:dyDescent="0.25">
      <c r="A5" s="22" t="s">
        <v>88</v>
      </c>
      <c r="B5" s="22" t="s">
        <v>88</v>
      </c>
      <c r="D5" s="2" t="s">
        <v>2</v>
      </c>
    </row>
    <row r="6" spans="1:4" x14ac:dyDescent="0.25">
      <c r="A6" s="20" t="s">
        <v>14</v>
      </c>
      <c r="B6" s="20" t="s">
        <v>89</v>
      </c>
      <c r="D6" s="2" t="s">
        <v>2</v>
      </c>
    </row>
    <row r="7" spans="1:4" x14ac:dyDescent="0.25">
      <c r="A7" s="20" t="s">
        <v>39</v>
      </c>
      <c r="B7" s="20" t="s">
        <v>90</v>
      </c>
      <c r="D7" s="2" t="s">
        <v>2</v>
      </c>
    </row>
    <row r="8" spans="1:4" x14ac:dyDescent="0.25">
      <c r="A8" s="20" t="s">
        <v>52</v>
      </c>
      <c r="B8" s="20" t="s">
        <v>91</v>
      </c>
      <c r="D8" s="2" t="s">
        <v>2</v>
      </c>
    </row>
    <row r="9" spans="1:4" x14ac:dyDescent="0.25">
      <c r="A9" s="20" t="s">
        <v>63</v>
      </c>
      <c r="B9" s="20" t="s">
        <v>92</v>
      </c>
      <c r="D9" s="2" t="s">
        <v>2</v>
      </c>
    </row>
    <row r="10" spans="1:4" x14ac:dyDescent="0.25">
      <c r="A10" s="20" t="s">
        <v>64</v>
      </c>
      <c r="B10" s="20" t="s">
        <v>93</v>
      </c>
      <c r="D10" s="2" t="s">
        <v>2</v>
      </c>
    </row>
    <row r="11" spans="1:4" x14ac:dyDescent="0.25">
      <c r="A11" s="22" t="s">
        <v>65</v>
      </c>
      <c r="B11" s="20" t="s">
        <v>94</v>
      </c>
      <c r="D11" s="2" t="s">
        <v>2</v>
      </c>
    </row>
    <row r="12" spans="1:4" x14ac:dyDescent="0.25">
      <c r="A12" s="22" t="s">
        <v>74</v>
      </c>
      <c r="B12" s="20" t="s">
        <v>95</v>
      </c>
      <c r="D12" s="2" t="s">
        <v>2</v>
      </c>
    </row>
    <row r="13" spans="1:4" x14ac:dyDescent="0.25">
      <c r="A13" s="22" t="s">
        <v>75</v>
      </c>
      <c r="B13" s="20" t="s">
        <v>96</v>
      </c>
      <c r="D13" s="2" t="s">
        <v>2</v>
      </c>
    </row>
    <row r="14" spans="1:4" x14ac:dyDescent="0.25">
      <c r="A14" s="22" t="s">
        <v>76</v>
      </c>
      <c r="B14" s="20" t="s">
        <v>97</v>
      </c>
      <c r="D14" s="2" t="s">
        <v>2</v>
      </c>
    </row>
    <row r="15" spans="1:4" x14ac:dyDescent="0.25">
      <c r="A15" s="22" t="s">
        <v>77</v>
      </c>
      <c r="B15" s="20" t="s">
        <v>98</v>
      </c>
      <c r="D15" s="2" t="s">
        <v>2</v>
      </c>
    </row>
    <row r="16" spans="1:4" x14ac:dyDescent="0.25">
      <c r="A16" s="22" t="s">
        <v>78</v>
      </c>
      <c r="B16" s="20" t="s">
        <v>99</v>
      </c>
      <c r="D16" s="2" t="s">
        <v>2</v>
      </c>
    </row>
    <row r="17" spans="1:4" x14ac:dyDescent="0.25">
      <c r="A17" s="22" t="s">
        <v>79</v>
      </c>
      <c r="B17" s="20" t="s">
        <v>100</v>
      </c>
      <c r="D17" s="2" t="s">
        <v>2</v>
      </c>
    </row>
    <row r="18" spans="1:4" x14ac:dyDescent="0.25">
      <c r="A18" s="22" t="s">
        <v>80</v>
      </c>
      <c r="B18" s="20" t="s">
        <v>101</v>
      </c>
      <c r="D18" s="2" t="s">
        <v>2</v>
      </c>
    </row>
    <row r="19" spans="1:4" x14ac:dyDescent="0.25">
      <c r="A19" s="22" t="s">
        <v>81</v>
      </c>
      <c r="B19" s="20" t="s">
        <v>102</v>
      </c>
      <c r="D19" s="2" t="s">
        <v>2</v>
      </c>
    </row>
    <row r="20" spans="1:4" x14ac:dyDescent="0.25">
      <c r="A20" s="22" t="s">
        <v>82</v>
      </c>
      <c r="B20" s="20" t="s">
        <v>103</v>
      </c>
      <c r="D20" s="2" t="s">
        <v>2</v>
      </c>
    </row>
    <row r="21" spans="1:4" x14ac:dyDescent="0.25">
      <c r="D21" s="2" t="s">
        <v>2</v>
      </c>
    </row>
    <row r="22" spans="1:4" x14ac:dyDescent="0.25">
      <c r="A22" s="2" t="s">
        <v>2</v>
      </c>
      <c r="B22" s="2" t="s">
        <v>2</v>
      </c>
      <c r="C22" s="2" t="s">
        <v>2</v>
      </c>
      <c r="D22" s="2" t="s">
        <v>2</v>
      </c>
    </row>
  </sheetData>
  <pageMargins left="0.78740157499999996" right="0.78740157499999996" top="0.984251969" bottom="0.984251969" header="0.4921259845" footer="0.492125984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91993-11D1-40D2-9C82-E4A234C5460D}">
  <dimension ref="A1:IV26"/>
  <sheetViews>
    <sheetView topLeftCell="A7" workbookViewId="0">
      <pane xSplit="1" topLeftCell="B1" activePane="topRight" state="frozenSplit"/>
      <selection activeCell="A95" sqref="A95"/>
      <selection pane="topRight"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3" width="15" style="1" bestFit="1" customWidth="1"/>
    <col min="4" max="4" width="22.88671875" style="1" customWidth="1"/>
    <col min="5" max="5" width="15" style="1" bestFit="1" customWidth="1"/>
    <col min="6" max="6" width="15" style="1" customWidth="1"/>
    <col min="7" max="8" width="13.6640625" style="1" bestFit="1" customWidth="1"/>
    <col min="9" max="9" width="9.44140625" style="1" customWidth="1"/>
    <col min="10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22" ht="26.4" x14ac:dyDescent="0.25">
      <c r="A1" s="1" t="s">
        <v>0</v>
      </c>
      <c r="B1" s="1" t="s">
        <v>86</v>
      </c>
      <c r="E1" s="1" t="s">
        <v>15</v>
      </c>
      <c r="F1" s="1">
        <v>1</v>
      </c>
      <c r="Q1" s="2" t="s">
        <v>2</v>
      </c>
    </row>
    <row r="2" spans="1:22" x14ac:dyDescent="0.25">
      <c r="Q2" s="2" t="s">
        <v>2</v>
      </c>
    </row>
    <row r="3" spans="1:22" ht="39.6" x14ac:dyDescent="0.25">
      <c r="A3" s="3" t="s">
        <v>3</v>
      </c>
      <c r="B3" s="3" t="s">
        <v>27</v>
      </c>
      <c r="C3" s="3" t="s">
        <v>27</v>
      </c>
      <c r="D3" s="3" t="s">
        <v>104</v>
      </c>
      <c r="E3" s="3" t="s">
        <v>104</v>
      </c>
      <c r="F3" s="3" t="s">
        <v>21</v>
      </c>
      <c r="G3" s="3" t="s">
        <v>21</v>
      </c>
      <c r="H3" s="3" t="s">
        <v>29</v>
      </c>
      <c r="I3" s="3" t="s">
        <v>29</v>
      </c>
      <c r="J3" s="3" t="s">
        <v>5</v>
      </c>
      <c r="K3" s="3" t="s">
        <v>5</v>
      </c>
      <c r="L3" s="3" t="s">
        <v>5</v>
      </c>
      <c r="M3" s="3" t="s">
        <v>13</v>
      </c>
      <c r="Q3" s="2" t="s">
        <v>2</v>
      </c>
    </row>
    <row r="4" spans="1:22" x14ac:dyDescent="0.25">
      <c r="A4" s="3" t="s">
        <v>105</v>
      </c>
      <c r="B4" s="3">
        <v>1</v>
      </c>
      <c r="C4" s="3">
        <f>-B4</f>
        <v>-1</v>
      </c>
      <c r="D4" s="3">
        <v>200</v>
      </c>
      <c r="E4" s="3">
        <f>-D4</f>
        <v>-200</v>
      </c>
      <c r="F4" s="3">
        <v>190</v>
      </c>
      <c r="G4" s="3">
        <f>-F4</f>
        <v>-190</v>
      </c>
      <c r="H4" s="3">
        <f>-40</f>
        <v>-40</v>
      </c>
      <c r="I4" s="3">
        <f>(2000+D4)*0.02</f>
        <v>44</v>
      </c>
      <c r="J4" s="3">
        <f>-D4</f>
        <v>-200</v>
      </c>
      <c r="K4" s="3">
        <f>-H4</f>
        <v>40</v>
      </c>
      <c r="L4" s="3">
        <f>-I4</f>
        <v>-44</v>
      </c>
      <c r="M4" s="3">
        <f>F4</f>
        <v>190</v>
      </c>
      <c r="Q4" s="2" t="s">
        <v>2</v>
      </c>
    </row>
    <row r="5" spans="1:22" x14ac:dyDescent="0.25">
      <c r="A5" s="3" t="s">
        <v>7</v>
      </c>
      <c r="B5" s="3">
        <v>1</v>
      </c>
      <c r="C5" s="3">
        <v>0</v>
      </c>
      <c r="D5" s="3">
        <v>0</v>
      </c>
      <c r="E5" s="3">
        <v>1</v>
      </c>
      <c r="F5" s="3">
        <v>0</v>
      </c>
      <c r="G5" s="3">
        <v>1</v>
      </c>
      <c r="H5" s="3">
        <v>0</v>
      </c>
      <c r="I5" s="3">
        <v>2</v>
      </c>
      <c r="J5" s="3">
        <v>0</v>
      </c>
      <c r="K5" s="3">
        <v>0</v>
      </c>
      <c r="L5" s="3">
        <v>2</v>
      </c>
      <c r="M5" s="3">
        <v>0</v>
      </c>
      <c r="Q5" s="2" t="s">
        <v>2</v>
      </c>
    </row>
    <row r="6" spans="1:22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L6" s="3">
        <v>20</v>
      </c>
      <c r="M6" s="3">
        <v>0</v>
      </c>
      <c r="Q6" s="2" t="s">
        <v>2</v>
      </c>
    </row>
    <row r="7" spans="1:22" s="2" customFormat="1" ht="26.4" x14ac:dyDescent="0.25">
      <c r="A7" s="14" t="s">
        <v>9</v>
      </c>
      <c r="B7" s="14" t="s">
        <v>14</v>
      </c>
      <c r="C7" s="14" t="s">
        <v>48</v>
      </c>
      <c r="D7" s="3" t="s">
        <v>86</v>
      </c>
      <c r="E7" s="3" t="s">
        <v>86</v>
      </c>
      <c r="F7" s="3" t="s">
        <v>86</v>
      </c>
      <c r="G7" s="3" t="s">
        <v>86</v>
      </c>
      <c r="H7" s="14" t="s">
        <v>48</v>
      </c>
      <c r="I7" s="14" t="s">
        <v>14</v>
      </c>
      <c r="J7" s="14" t="s">
        <v>1</v>
      </c>
      <c r="K7" s="14" t="s">
        <v>1</v>
      </c>
      <c r="L7" s="14" t="s">
        <v>1</v>
      </c>
      <c r="M7" s="14" t="s">
        <v>1</v>
      </c>
      <c r="Q7" s="2" t="s">
        <v>2</v>
      </c>
      <c r="V7" s="1"/>
    </row>
    <row r="8" spans="1:22" s="2" customFormat="1" x14ac:dyDescent="0.25">
      <c r="Q8" s="2" t="s">
        <v>2</v>
      </c>
      <c r="V8" s="1"/>
    </row>
    <row r="9" spans="1:22" s="2" customFormat="1" ht="39.6" x14ac:dyDescent="0.25">
      <c r="A9" s="3" t="s">
        <v>3</v>
      </c>
      <c r="B9" s="3" t="s">
        <v>26</v>
      </c>
      <c r="C9" s="3" t="s">
        <v>26</v>
      </c>
      <c r="D9" s="3" t="s">
        <v>104</v>
      </c>
      <c r="E9" s="3" t="s">
        <v>104</v>
      </c>
      <c r="F9" s="3" t="s">
        <v>21</v>
      </c>
      <c r="G9" s="3" t="s">
        <v>21</v>
      </c>
      <c r="H9" s="3" t="s">
        <v>28</v>
      </c>
      <c r="I9" s="3" t="s">
        <v>28</v>
      </c>
      <c r="J9" s="3" t="s">
        <v>5</v>
      </c>
      <c r="K9" s="3" t="s">
        <v>5</v>
      </c>
      <c r="L9" s="3" t="s">
        <v>5</v>
      </c>
      <c r="M9" s="3" t="s">
        <v>13</v>
      </c>
      <c r="N9" s="1"/>
      <c r="O9" s="1"/>
      <c r="P9" s="1"/>
      <c r="Q9" s="2" t="s">
        <v>2</v>
      </c>
      <c r="V9" s="1"/>
    </row>
    <row r="10" spans="1:22" s="2" customFormat="1" x14ac:dyDescent="0.25">
      <c r="A10" s="3" t="s">
        <v>106</v>
      </c>
      <c r="B10" s="3">
        <v>1</v>
      </c>
      <c r="C10" s="3">
        <f>-B10</f>
        <v>-1</v>
      </c>
      <c r="D10" s="3">
        <v>200</v>
      </c>
      <c r="E10" s="3">
        <f>-D10</f>
        <v>-200</v>
      </c>
      <c r="F10" s="3">
        <v>190</v>
      </c>
      <c r="G10" s="3">
        <f>-F10</f>
        <v>-190</v>
      </c>
      <c r="H10" s="3">
        <f>-60</f>
        <v>-60</v>
      </c>
      <c r="I10" s="3">
        <f>(3000+D10)*0.02</f>
        <v>64</v>
      </c>
      <c r="J10" s="3">
        <f>-D10</f>
        <v>-200</v>
      </c>
      <c r="K10" s="3">
        <f>-H10</f>
        <v>60</v>
      </c>
      <c r="L10" s="3">
        <f>-I10</f>
        <v>-64</v>
      </c>
      <c r="M10" s="3">
        <f>F10</f>
        <v>190</v>
      </c>
      <c r="N10" s="1"/>
      <c r="O10" s="1"/>
      <c r="P10" s="1"/>
      <c r="Q10" s="2" t="s">
        <v>2</v>
      </c>
      <c r="V10" s="1"/>
    </row>
    <row r="11" spans="1:22" s="2" customFormat="1" x14ac:dyDescent="0.25">
      <c r="A11" s="3" t="s">
        <v>7</v>
      </c>
      <c r="B11" s="3">
        <v>1</v>
      </c>
      <c r="C11" s="3">
        <v>0</v>
      </c>
      <c r="D11" s="3">
        <v>0</v>
      </c>
      <c r="E11" s="3">
        <v>1</v>
      </c>
      <c r="F11" s="3">
        <v>0</v>
      </c>
      <c r="G11" s="3">
        <v>1</v>
      </c>
      <c r="H11" s="3">
        <v>0</v>
      </c>
      <c r="I11" s="3">
        <v>2</v>
      </c>
      <c r="J11" s="3">
        <v>0</v>
      </c>
      <c r="K11" s="3">
        <v>0</v>
      </c>
      <c r="L11" s="3">
        <v>2</v>
      </c>
      <c r="M11" s="3">
        <v>0</v>
      </c>
      <c r="N11" s="1"/>
      <c r="O11" s="1"/>
      <c r="P11" s="1"/>
      <c r="Q11" s="2" t="s">
        <v>2</v>
      </c>
      <c r="V11" s="1"/>
    </row>
    <row r="12" spans="1:22" s="2" customFormat="1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L12" s="3">
        <v>20</v>
      </c>
      <c r="M12" s="3">
        <v>0</v>
      </c>
      <c r="N12" s="1"/>
      <c r="O12" s="1"/>
      <c r="P12" s="1"/>
      <c r="Q12" s="2" t="s">
        <v>2</v>
      </c>
      <c r="V12" s="1"/>
    </row>
    <row r="13" spans="1:22" ht="26.4" x14ac:dyDescent="0.25">
      <c r="A13" s="14" t="s">
        <v>9</v>
      </c>
      <c r="B13" s="14" t="s">
        <v>14</v>
      </c>
      <c r="C13" s="14" t="s">
        <v>48</v>
      </c>
      <c r="D13" s="3" t="s">
        <v>86</v>
      </c>
      <c r="E13" s="3" t="s">
        <v>86</v>
      </c>
      <c r="F13" s="3" t="s">
        <v>86</v>
      </c>
      <c r="G13" s="3" t="s">
        <v>86</v>
      </c>
      <c r="H13" s="14" t="s">
        <v>48</v>
      </c>
      <c r="I13" s="14" t="s">
        <v>14</v>
      </c>
      <c r="J13" s="14" t="s">
        <v>1</v>
      </c>
      <c r="K13" s="14" t="s">
        <v>1</v>
      </c>
      <c r="L13" s="14" t="s">
        <v>1</v>
      </c>
      <c r="M13" s="14" t="s">
        <v>1</v>
      </c>
      <c r="N13" s="2"/>
      <c r="O13" s="2"/>
      <c r="P13" s="2"/>
      <c r="Q13" s="2" t="s">
        <v>2</v>
      </c>
    </row>
    <row r="14" spans="1:22" x14ac:dyDescent="0.25">
      <c r="Q14" s="2" t="s">
        <v>2</v>
      </c>
    </row>
    <row r="15" spans="1:22" ht="39.6" x14ac:dyDescent="0.25">
      <c r="A15" s="3" t="s">
        <v>3</v>
      </c>
      <c r="B15" s="3" t="s">
        <v>26</v>
      </c>
      <c r="C15" s="3" t="s">
        <v>26</v>
      </c>
      <c r="D15" s="3" t="s">
        <v>104</v>
      </c>
      <c r="E15" s="3" t="s">
        <v>104</v>
      </c>
      <c r="F15" s="3" t="s">
        <v>21</v>
      </c>
      <c r="G15" s="3" t="s">
        <v>21</v>
      </c>
      <c r="H15" s="3" t="s">
        <v>28</v>
      </c>
      <c r="I15" s="3" t="s">
        <v>28</v>
      </c>
      <c r="J15" s="3" t="s">
        <v>5</v>
      </c>
      <c r="K15" s="3" t="s">
        <v>5</v>
      </c>
      <c r="L15" s="3" t="s">
        <v>5</v>
      </c>
      <c r="M15" s="3" t="s">
        <v>13</v>
      </c>
      <c r="Q15" s="2" t="s">
        <v>2</v>
      </c>
    </row>
    <row r="16" spans="1:22" x14ac:dyDescent="0.25">
      <c r="A16" s="3" t="s">
        <v>107</v>
      </c>
      <c r="B16" s="3">
        <v>1</v>
      </c>
      <c r="C16" s="3">
        <f>-B16</f>
        <v>-1</v>
      </c>
      <c r="D16" s="3">
        <v>200</v>
      </c>
      <c r="E16" s="3">
        <f>-D16</f>
        <v>-200</v>
      </c>
      <c r="F16" s="3">
        <v>190</v>
      </c>
      <c r="G16" s="3">
        <f>-F16</f>
        <v>-190</v>
      </c>
      <c r="H16" s="3">
        <f>-60</f>
        <v>-60</v>
      </c>
      <c r="I16" s="3">
        <f>(3000+D16)*0.02</f>
        <v>64</v>
      </c>
      <c r="J16" s="3">
        <f>-D16</f>
        <v>-200</v>
      </c>
      <c r="K16" s="3">
        <f>-H16</f>
        <v>60</v>
      </c>
      <c r="L16" s="3">
        <f>-I16</f>
        <v>-64</v>
      </c>
      <c r="M16" s="3">
        <f>F16</f>
        <v>190</v>
      </c>
      <c r="Q16" s="2" t="s">
        <v>2</v>
      </c>
    </row>
    <row r="17" spans="1:256" x14ac:dyDescent="0.25">
      <c r="A17" s="3" t="s">
        <v>7</v>
      </c>
      <c r="B17" s="3">
        <v>1</v>
      </c>
      <c r="C17" s="3">
        <v>0</v>
      </c>
      <c r="D17" s="3">
        <v>0</v>
      </c>
      <c r="E17" s="3">
        <v>1</v>
      </c>
      <c r="F17" s="3">
        <v>0</v>
      </c>
      <c r="G17" s="3">
        <v>1</v>
      </c>
      <c r="H17" s="3">
        <v>0</v>
      </c>
      <c r="I17" s="3">
        <v>2</v>
      </c>
      <c r="J17" s="3">
        <v>0</v>
      </c>
      <c r="K17" s="3">
        <v>0</v>
      </c>
      <c r="L17" s="3">
        <v>2</v>
      </c>
      <c r="M17" s="3">
        <v>0</v>
      </c>
      <c r="Q17" s="2" t="s">
        <v>2</v>
      </c>
    </row>
    <row r="18" spans="1:256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20</v>
      </c>
      <c r="L18" s="3">
        <v>20</v>
      </c>
      <c r="M18" s="3">
        <v>0</v>
      </c>
      <c r="Q18" s="2" t="s">
        <v>2</v>
      </c>
    </row>
    <row r="19" spans="1:256" ht="26.4" x14ac:dyDescent="0.25">
      <c r="A19" s="14" t="s">
        <v>9</v>
      </c>
      <c r="B19" s="14" t="s">
        <v>39</v>
      </c>
      <c r="C19" s="14" t="s">
        <v>48</v>
      </c>
      <c r="D19" s="3" t="s">
        <v>86</v>
      </c>
      <c r="E19" s="3" t="s">
        <v>86</v>
      </c>
      <c r="F19" s="3" t="s">
        <v>86</v>
      </c>
      <c r="G19" s="3" t="s">
        <v>86</v>
      </c>
      <c r="H19" s="14" t="s">
        <v>48</v>
      </c>
      <c r="I19" s="14" t="s">
        <v>39</v>
      </c>
      <c r="J19" s="14" t="s">
        <v>1</v>
      </c>
      <c r="K19" s="14" t="s">
        <v>1</v>
      </c>
      <c r="L19" s="14" t="s">
        <v>1</v>
      </c>
      <c r="M19" s="14" t="s">
        <v>1</v>
      </c>
      <c r="Q19" s="2" t="s">
        <v>2</v>
      </c>
    </row>
    <row r="20" spans="1:256" x14ac:dyDescent="0.25">
      <c r="Q20" s="2" t="s">
        <v>2</v>
      </c>
    </row>
    <row r="21" spans="1:256" x14ac:dyDescent="0.25">
      <c r="A21" s="17"/>
      <c r="Q21" s="2" t="s">
        <v>2</v>
      </c>
    </row>
    <row r="22" spans="1:256" x14ac:dyDescent="0.25">
      <c r="A22" s="3" t="s">
        <v>10</v>
      </c>
      <c r="B22" s="3" t="s">
        <v>11</v>
      </c>
      <c r="C22" s="3" t="s">
        <v>12</v>
      </c>
      <c r="D22" s="4">
        <v>0</v>
      </c>
      <c r="E22" s="4">
        <v>1</v>
      </c>
      <c r="F22" s="4">
        <v>2</v>
      </c>
      <c r="G22" s="4">
        <v>3</v>
      </c>
      <c r="H22" s="4">
        <v>4</v>
      </c>
      <c r="I22" s="4">
        <v>5</v>
      </c>
      <c r="J22" s="4">
        <v>6</v>
      </c>
      <c r="K22" s="4">
        <v>7</v>
      </c>
      <c r="L22" s="4">
        <v>8</v>
      </c>
      <c r="M22" s="4">
        <v>9</v>
      </c>
      <c r="N22" s="4">
        <v>10</v>
      </c>
      <c r="O22" s="4">
        <v>11</v>
      </c>
      <c r="P22" s="4">
        <v>12</v>
      </c>
      <c r="Q22" s="2" t="s">
        <v>2</v>
      </c>
    </row>
    <row r="23" spans="1:256" s="8" customFormat="1" x14ac:dyDescent="0.25">
      <c r="A23" s="5" t="s">
        <v>104</v>
      </c>
      <c r="B23" s="5">
        <v>-1000000000</v>
      </c>
      <c r="C23" s="5">
        <v>1000000000</v>
      </c>
      <c r="D23" s="5"/>
      <c r="E23" s="5">
        <v>15000</v>
      </c>
      <c r="F23" s="5">
        <v>15000</v>
      </c>
      <c r="G23" s="5">
        <v>24000</v>
      </c>
      <c r="H23" s="5">
        <v>-24000</v>
      </c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2" customFormat="1" x14ac:dyDescent="0.25">
      <c r="A24" s="9" t="s">
        <v>21</v>
      </c>
      <c r="B24" s="9">
        <v>-1000000000</v>
      </c>
      <c r="C24" s="9">
        <v>1000000000</v>
      </c>
      <c r="D24" s="10"/>
      <c r="E24" s="9">
        <v>14250</v>
      </c>
      <c r="F24" s="9">
        <v>14250</v>
      </c>
      <c r="G24" s="9">
        <v>22800</v>
      </c>
      <c r="H24" s="9">
        <v>-22800</v>
      </c>
      <c r="I24" s="9"/>
      <c r="J24" s="9"/>
      <c r="K24" s="9"/>
      <c r="L24" s="9"/>
      <c r="M24" s="9"/>
      <c r="N24" s="9"/>
      <c r="O24" s="9"/>
      <c r="P24" s="9"/>
      <c r="Q24" s="11" t="s">
        <v>2</v>
      </c>
    </row>
    <row r="25" spans="1:256" x14ac:dyDescent="0.25">
      <c r="C25" s="13"/>
      <c r="Q25" s="2" t="s">
        <v>2</v>
      </c>
    </row>
    <row r="26" spans="1:256" s="2" customFormat="1" x14ac:dyDescent="0.25">
      <c r="A26" s="2" t="s">
        <v>2</v>
      </c>
      <c r="B26" s="2" t="s">
        <v>2</v>
      </c>
      <c r="C26" s="2" t="s">
        <v>2</v>
      </c>
      <c r="D26" s="2" t="s">
        <v>2</v>
      </c>
      <c r="E26" s="2" t="s">
        <v>2</v>
      </c>
      <c r="F26" s="2" t="s">
        <v>2</v>
      </c>
      <c r="G26" s="2" t="s">
        <v>2</v>
      </c>
      <c r="H26" s="2" t="s">
        <v>2</v>
      </c>
      <c r="I26" s="2" t="s">
        <v>2</v>
      </c>
      <c r="J26" s="2" t="s">
        <v>2</v>
      </c>
      <c r="K26" s="2" t="s">
        <v>2</v>
      </c>
      <c r="L26" s="2" t="s">
        <v>2</v>
      </c>
      <c r="M26" s="2" t="s">
        <v>2</v>
      </c>
      <c r="N26" s="2" t="s">
        <v>2</v>
      </c>
      <c r="O26" s="2" t="s">
        <v>2</v>
      </c>
      <c r="P26" s="2" t="s">
        <v>2</v>
      </c>
      <c r="Q26" s="2" t="s">
        <v>2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E60AE-E72F-4CB1-8F73-E2C9D680A7DF}">
  <dimension ref="A1:IV54"/>
  <sheetViews>
    <sheetView topLeftCell="A4" workbookViewId="0">
      <pane xSplit="1" topLeftCell="C1" activePane="topRight" state="frozenSplit"/>
      <selection activeCell="A95" sqref="A95"/>
      <selection pane="topRight"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17" x14ac:dyDescent="0.25">
      <c r="A1" s="1" t="s">
        <v>0</v>
      </c>
      <c r="B1" s="1" t="s">
        <v>88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2" customFormat="1" x14ac:dyDescent="0.25">
      <c r="Q3" s="2" t="s">
        <v>2</v>
      </c>
    </row>
    <row r="4" spans="1:17" ht="39.6" x14ac:dyDescent="0.25">
      <c r="A4" s="3" t="s">
        <v>3</v>
      </c>
      <c r="B4" s="3" t="s">
        <v>27</v>
      </c>
      <c r="C4" s="3" t="s">
        <v>108</v>
      </c>
      <c r="D4" s="3" t="s">
        <v>108</v>
      </c>
      <c r="E4" s="3" t="s">
        <v>109</v>
      </c>
      <c r="F4" s="3" t="s">
        <v>109</v>
      </c>
      <c r="G4" s="3" t="s">
        <v>29</v>
      </c>
      <c r="H4" s="3" t="s">
        <v>5</v>
      </c>
      <c r="I4" s="3" t="s">
        <v>5</v>
      </c>
      <c r="J4" s="3" t="s">
        <v>13</v>
      </c>
      <c r="Q4" s="2" t="s">
        <v>2</v>
      </c>
    </row>
    <row r="5" spans="1:17" x14ac:dyDescent="0.25">
      <c r="A5" s="3" t="s">
        <v>110</v>
      </c>
      <c r="B5" s="3">
        <v>1</v>
      </c>
      <c r="C5" s="3">
        <v>6000</v>
      </c>
      <c r="D5" s="3">
        <f>-C5</f>
        <v>-6000</v>
      </c>
      <c r="E5" s="3">
        <v>3100</v>
      </c>
      <c r="F5" s="3">
        <f>-E5</f>
        <v>-3100</v>
      </c>
      <c r="G5" s="3">
        <v>44</v>
      </c>
      <c r="H5" s="3">
        <f>-C5</f>
        <v>-6000</v>
      </c>
      <c r="I5" s="3">
        <f>-G5</f>
        <v>-44</v>
      </c>
      <c r="J5" s="3">
        <f>E5</f>
        <v>3100</v>
      </c>
      <c r="Q5" s="2" t="s">
        <v>2</v>
      </c>
    </row>
    <row r="6" spans="1:17" x14ac:dyDescent="0.25">
      <c r="A6" s="3" t="s">
        <v>7</v>
      </c>
      <c r="B6" s="3">
        <v>0</v>
      </c>
      <c r="C6" s="3">
        <v>0</v>
      </c>
      <c r="D6" s="3">
        <v>1</v>
      </c>
      <c r="E6" s="3">
        <v>0</v>
      </c>
      <c r="F6" s="3">
        <v>1</v>
      </c>
      <c r="G6" s="3">
        <v>1</v>
      </c>
      <c r="H6" s="3">
        <v>0</v>
      </c>
      <c r="I6" s="3">
        <v>1</v>
      </c>
      <c r="J6" s="3">
        <v>0</v>
      </c>
      <c r="Q6" s="2" t="s">
        <v>2</v>
      </c>
    </row>
    <row r="7" spans="1:17" x14ac:dyDescent="0.25">
      <c r="A7" s="3" t="s">
        <v>8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20</v>
      </c>
      <c r="J7" s="3">
        <v>0</v>
      </c>
      <c r="Q7" s="2" t="s">
        <v>2</v>
      </c>
    </row>
    <row r="8" spans="1:17" s="2" customFormat="1" x14ac:dyDescent="0.25">
      <c r="A8" s="14" t="s">
        <v>9</v>
      </c>
      <c r="B8" s="14" t="s">
        <v>14</v>
      </c>
      <c r="C8" s="14" t="s">
        <v>88</v>
      </c>
      <c r="D8" s="14" t="s">
        <v>88</v>
      </c>
      <c r="E8" s="14" t="s">
        <v>88</v>
      </c>
      <c r="F8" s="14" t="s">
        <v>88</v>
      </c>
      <c r="G8" s="14" t="s">
        <v>14</v>
      </c>
      <c r="H8" s="14" t="s">
        <v>1</v>
      </c>
      <c r="I8" s="14" t="s">
        <v>1</v>
      </c>
      <c r="J8" s="14" t="s">
        <v>1</v>
      </c>
      <c r="Q8" s="2" t="s">
        <v>2</v>
      </c>
    </row>
    <row r="9" spans="1:17" s="2" customFormat="1" x14ac:dyDescent="0.25">
      <c r="Q9" s="2" t="s">
        <v>2</v>
      </c>
    </row>
    <row r="10" spans="1:17" s="2" customFormat="1" ht="39.6" x14ac:dyDescent="0.25">
      <c r="A10" s="3" t="s">
        <v>3</v>
      </c>
      <c r="B10" s="3" t="s">
        <v>26</v>
      </c>
      <c r="C10" s="3" t="s">
        <v>111</v>
      </c>
      <c r="D10" s="3" t="s">
        <v>111</v>
      </c>
      <c r="E10" s="3" t="s">
        <v>112</v>
      </c>
      <c r="F10" s="3" t="s">
        <v>112</v>
      </c>
      <c r="G10" s="3" t="s">
        <v>28</v>
      </c>
      <c r="H10" s="3" t="s">
        <v>5</v>
      </c>
      <c r="I10" s="3" t="s">
        <v>5</v>
      </c>
      <c r="J10" s="3" t="s">
        <v>13</v>
      </c>
      <c r="Q10" s="2" t="s">
        <v>2</v>
      </c>
    </row>
    <row r="11" spans="1:17" s="2" customFormat="1" x14ac:dyDescent="0.25">
      <c r="A11" s="3" t="s">
        <v>113</v>
      </c>
      <c r="B11" s="3">
        <v>1</v>
      </c>
      <c r="C11" s="3">
        <v>9000</v>
      </c>
      <c r="D11" s="3">
        <f>-C11</f>
        <v>-9000</v>
      </c>
      <c r="E11" s="3">
        <v>4400</v>
      </c>
      <c r="F11" s="3">
        <f>-E11</f>
        <v>-4400</v>
      </c>
      <c r="G11" s="3">
        <v>64</v>
      </c>
      <c r="H11" s="3">
        <f>-C11</f>
        <v>-9000</v>
      </c>
      <c r="I11" s="3">
        <f>-G11</f>
        <v>-64</v>
      </c>
      <c r="J11" s="3">
        <f>E11</f>
        <v>4400</v>
      </c>
      <c r="Q11" s="2" t="s">
        <v>2</v>
      </c>
    </row>
    <row r="12" spans="1:17" s="2" customFormat="1" x14ac:dyDescent="0.25">
      <c r="A12" s="3" t="s">
        <v>7</v>
      </c>
      <c r="B12" s="3">
        <v>0</v>
      </c>
      <c r="C12" s="3">
        <v>0</v>
      </c>
      <c r="D12" s="3">
        <v>1</v>
      </c>
      <c r="E12" s="3">
        <v>0</v>
      </c>
      <c r="F12" s="3">
        <v>1</v>
      </c>
      <c r="G12" s="3">
        <v>1</v>
      </c>
      <c r="H12" s="3">
        <v>0</v>
      </c>
      <c r="I12" s="3">
        <v>1</v>
      </c>
      <c r="J12" s="3">
        <v>0</v>
      </c>
      <c r="Q12" s="2" t="s">
        <v>2</v>
      </c>
    </row>
    <row r="13" spans="1:17" s="2" customFormat="1" x14ac:dyDescent="0.25">
      <c r="A13" s="3" t="s">
        <v>8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20</v>
      </c>
      <c r="J13" s="3">
        <v>0</v>
      </c>
      <c r="Q13" s="2" t="s">
        <v>2</v>
      </c>
    </row>
    <row r="14" spans="1:17" s="2" customFormat="1" x14ac:dyDescent="0.25">
      <c r="A14" s="14" t="s">
        <v>9</v>
      </c>
      <c r="B14" s="14" t="s">
        <v>14</v>
      </c>
      <c r="C14" s="14" t="s">
        <v>88</v>
      </c>
      <c r="D14" s="14" t="s">
        <v>88</v>
      </c>
      <c r="E14" s="14" t="s">
        <v>88</v>
      </c>
      <c r="F14" s="14" t="s">
        <v>88</v>
      </c>
      <c r="G14" s="14" t="s">
        <v>14</v>
      </c>
      <c r="H14" s="14" t="s">
        <v>1</v>
      </c>
      <c r="I14" s="14" t="s">
        <v>1</v>
      </c>
      <c r="J14" s="14" t="s">
        <v>1</v>
      </c>
      <c r="Q14" s="2" t="s">
        <v>2</v>
      </c>
    </row>
    <row r="15" spans="1:17" s="2" customFormat="1" x14ac:dyDescent="0.25">
      <c r="Q15" s="2" t="s">
        <v>2</v>
      </c>
    </row>
    <row r="16" spans="1:17" s="2" customFormat="1" ht="39.6" x14ac:dyDescent="0.25">
      <c r="A16" s="3" t="s">
        <v>3</v>
      </c>
      <c r="B16" s="3" t="s">
        <v>26</v>
      </c>
      <c r="C16" s="3" t="s">
        <v>111</v>
      </c>
      <c r="D16" s="3" t="s">
        <v>111</v>
      </c>
      <c r="E16" s="3" t="s">
        <v>112</v>
      </c>
      <c r="F16" s="3" t="s">
        <v>112</v>
      </c>
      <c r="G16" s="3" t="s">
        <v>28</v>
      </c>
      <c r="H16" s="3" t="s">
        <v>5</v>
      </c>
      <c r="I16" s="3" t="s">
        <v>5</v>
      </c>
      <c r="J16" s="3" t="s">
        <v>13</v>
      </c>
      <c r="Q16" s="2" t="s">
        <v>2</v>
      </c>
    </row>
    <row r="17" spans="1:17" s="2" customFormat="1" x14ac:dyDescent="0.25">
      <c r="A17" s="3" t="s">
        <v>114</v>
      </c>
      <c r="B17" s="3">
        <v>1</v>
      </c>
      <c r="C17" s="3">
        <v>9000</v>
      </c>
      <c r="D17" s="3">
        <f>-C17</f>
        <v>-9000</v>
      </c>
      <c r="E17" s="3">
        <v>4400</v>
      </c>
      <c r="F17" s="3">
        <f>-E17</f>
        <v>-4400</v>
      </c>
      <c r="G17" s="3">
        <v>64</v>
      </c>
      <c r="H17" s="3">
        <f>-C17</f>
        <v>-9000</v>
      </c>
      <c r="I17" s="3">
        <f>-G17</f>
        <v>-64</v>
      </c>
      <c r="J17" s="3">
        <f>E17</f>
        <v>4400</v>
      </c>
      <c r="Q17" s="2" t="s">
        <v>2</v>
      </c>
    </row>
    <row r="18" spans="1:17" s="2" customFormat="1" x14ac:dyDescent="0.25">
      <c r="A18" s="3" t="s">
        <v>7</v>
      </c>
      <c r="B18" s="3">
        <v>0</v>
      </c>
      <c r="C18" s="3">
        <v>0</v>
      </c>
      <c r="D18" s="3">
        <v>1</v>
      </c>
      <c r="E18" s="3">
        <v>0</v>
      </c>
      <c r="F18" s="3">
        <v>1</v>
      </c>
      <c r="G18" s="3">
        <v>1</v>
      </c>
      <c r="H18" s="3">
        <v>0</v>
      </c>
      <c r="I18" s="3">
        <v>1</v>
      </c>
      <c r="J18" s="3">
        <v>0</v>
      </c>
      <c r="Q18" s="2" t="s">
        <v>2</v>
      </c>
    </row>
    <row r="19" spans="1:17" s="2" customFormat="1" x14ac:dyDescent="0.25">
      <c r="A19" s="3" t="s">
        <v>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20</v>
      </c>
      <c r="J19" s="3">
        <v>0</v>
      </c>
      <c r="Q19" s="2" t="s">
        <v>2</v>
      </c>
    </row>
    <row r="20" spans="1:17" s="2" customFormat="1" x14ac:dyDescent="0.25">
      <c r="A20" s="14" t="s">
        <v>9</v>
      </c>
      <c r="B20" s="14" t="s">
        <v>39</v>
      </c>
      <c r="C20" s="14" t="s">
        <v>88</v>
      </c>
      <c r="D20" s="14" t="s">
        <v>88</v>
      </c>
      <c r="E20" s="14" t="s">
        <v>88</v>
      </c>
      <c r="F20" s="14" t="s">
        <v>88</v>
      </c>
      <c r="G20" s="14" t="s">
        <v>39</v>
      </c>
      <c r="H20" s="14" t="s">
        <v>1</v>
      </c>
      <c r="I20" s="14" t="s">
        <v>1</v>
      </c>
      <c r="J20" s="14" t="s">
        <v>1</v>
      </c>
      <c r="Q20" s="2" t="s">
        <v>2</v>
      </c>
    </row>
    <row r="21" spans="1:17" s="2" customFormat="1" x14ac:dyDescent="0.25">
      <c r="Q21" s="2" t="s">
        <v>2</v>
      </c>
    </row>
    <row r="22" spans="1:17" s="2" customFormat="1" ht="39.6" x14ac:dyDescent="0.25">
      <c r="A22" s="3" t="s">
        <v>3</v>
      </c>
      <c r="B22" s="3" t="s">
        <v>18</v>
      </c>
      <c r="C22" s="3" t="s">
        <v>115</v>
      </c>
      <c r="D22" s="3" t="s">
        <v>115</v>
      </c>
      <c r="E22" s="3" t="s">
        <v>116</v>
      </c>
      <c r="F22" s="3" t="s">
        <v>116</v>
      </c>
      <c r="G22" s="3" t="s">
        <v>24</v>
      </c>
      <c r="H22" s="3" t="s">
        <v>5</v>
      </c>
      <c r="I22" s="3" t="s">
        <v>5</v>
      </c>
      <c r="J22" s="3" t="s">
        <v>13</v>
      </c>
      <c r="Q22" s="2" t="s">
        <v>2</v>
      </c>
    </row>
    <row r="23" spans="1:17" s="2" customFormat="1" x14ac:dyDescent="0.25">
      <c r="A23" s="3" t="s">
        <v>117</v>
      </c>
      <c r="B23" s="3">
        <v>1</v>
      </c>
      <c r="C23" s="3">
        <v>1000</v>
      </c>
      <c r="D23" s="3">
        <f>-C23</f>
        <v>-1000</v>
      </c>
      <c r="E23" s="3">
        <v>900</v>
      </c>
      <c r="F23" s="3">
        <f>-E23</f>
        <v>-900</v>
      </c>
      <c r="G23" s="3">
        <f>0.02*C23</f>
        <v>20</v>
      </c>
      <c r="H23" s="3">
        <f>-C23</f>
        <v>-1000</v>
      </c>
      <c r="I23" s="3">
        <f>-G23</f>
        <v>-20</v>
      </c>
      <c r="J23" s="3">
        <f>E23</f>
        <v>900</v>
      </c>
      <c r="Q23" s="2" t="s">
        <v>2</v>
      </c>
    </row>
    <row r="24" spans="1:17" s="2" customFormat="1" x14ac:dyDescent="0.25">
      <c r="A24" s="3" t="s">
        <v>7</v>
      </c>
      <c r="B24" s="3">
        <v>0</v>
      </c>
      <c r="C24" s="3">
        <v>0</v>
      </c>
      <c r="D24" s="3">
        <v>1</v>
      </c>
      <c r="E24" s="3">
        <v>0</v>
      </c>
      <c r="F24" s="3">
        <v>1</v>
      </c>
      <c r="G24" s="3">
        <v>1</v>
      </c>
      <c r="H24" s="3">
        <v>0</v>
      </c>
      <c r="I24" s="3">
        <v>1</v>
      </c>
      <c r="J24" s="3">
        <v>0</v>
      </c>
      <c r="Q24" s="2" t="s">
        <v>2</v>
      </c>
    </row>
    <row r="25" spans="1:17" s="2" customFormat="1" x14ac:dyDescent="0.25">
      <c r="A25" s="3" t="s">
        <v>8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20</v>
      </c>
      <c r="J25" s="3">
        <v>0</v>
      </c>
      <c r="Q25" s="2" t="s">
        <v>2</v>
      </c>
    </row>
    <row r="26" spans="1:17" s="2" customFormat="1" x14ac:dyDescent="0.25">
      <c r="A26" s="14" t="s">
        <v>9</v>
      </c>
      <c r="B26" s="14" t="s">
        <v>14</v>
      </c>
      <c r="C26" s="14" t="s">
        <v>88</v>
      </c>
      <c r="D26" s="14" t="s">
        <v>88</v>
      </c>
      <c r="E26" s="14" t="s">
        <v>88</v>
      </c>
      <c r="F26" s="14" t="s">
        <v>88</v>
      </c>
      <c r="G26" s="14" t="s">
        <v>14</v>
      </c>
      <c r="H26" s="14" t="s">
        <v>1</v>
      </c>
      <c r="I26" s="14" t="s">
        <v>1</v>
      </c>
      <c r="J26" s="14" t="s">
        <v>1</v>
      </c>
      <c r="Q26" s="2" t="s">
        <v>2</v>
      </c>
    </row>
    <row r="27" spans="1:17" s="2" customFormat="1" x14ac:dyDescent="0.25">
      <c r="Q27" s="2" t="s">
        <v>2</v>
      </c>
    </row>
    <row r="28" spans="1:17" s="2" customFormat="1" ht="39.6" x14ac:dyDescent="0.25">
      <c r="A28" s="3" t="s">
        <v>3</v>
      </c>
      <c r="B28" s="3" t="s">
        <v>41</v>
      </c>
      <c r="C28" s="3" t="s">
        <v>118</v>
      </c>
      <c r="D28" s="3" t="s">
        <v>118</v>
      </c>
      <c r="E28" s="3" t="s">
        <v>119</v>
      </c>
      <c r="F28" s="3" t="s">
        <v>119</v>
      </c>
      <c r="G28" s="3" t="s">
        <v>43</v>
      </c>
      <c r="H28" s="3" t="s">
        <v>5</v>
      </c>
      <c r="I28" s="3" t="s">
        <v>5</v>
      </c>
      <c r="J28" s="3" t="s">
        <v>13</v>
      </c>
      <c r="Q28" s="2" t="s">
        <v>2</v>
      </c>
    </row>
    <row r="29" spans="1:17" s="2" customFormat="1" x14ac:dyDescent="0.25">
      <c r="A29" s="3" t="s">
        <v>120</v>
      </c>
      <c r="B29" s="3">
        <v>1</v>
      </c>
      <c r="C29" s="3">
        <v>3000</v>
      </c>
      <c r="D29" s="3">
        <f>-C29</f>
        <v>-3000</v>
      </c>
      <c r="E29" s="3">
        <v>4000</v>
      </c>
      <c r="F29" s="3">
        <f>-E29</f>
        <v>-4000</v>
      </c>
      <c r="G29" s="3">
        <f>0.02*C29</f>
        <v>60</v>
      </c>
      <c r="H29" s="3">
        <f>-C29</f>
        <v>-3000</v>
      </c>
      <c r="I29" s="3">
        <f>-G29</f>
        <v>-60</v>
      </c>
      <c r="J29" s="3">
        <f>E29</f>
        <v>4000</v>
      </c>
      <c r="Q29" s="2" t="s">
        <v>2</v>
      </c>
    </row>
    <row r="30" spans="1:17" s="2" customFormat="1" x14ac:dyDescent="0.25">
      <c r="A30" s="3" t="s">
        <v>7</v>
      </c>
      <c r="B30" s="3">
        <v>0</v>
      </c>
      <c r="C30" s="3">
        <v>0</v>
      </c>
      <c r="D30" s="3">
        <v>1</v>
      </c>
      <c r="E30" s="3">
        <v>0</v>
      </c>
      <c r="F30" s="3">
        <v>1</v>
      </c>
      <c r="G30" s="3">
        <v>1</v>
      </c>
      <c r="H30" s="3">
        <v>0</v>
      </c>
      <c r="I30" s="3">
        <v>1</v>
      </c>
      <c r="J30" s="3">
        <v>0</v>
      </c>
      <c r="Q30" s="2" t="s">
        <v>2</v>
      </c>
    </row>
    <row r="31" spans="1:17" s="2" customFormat="1" x14ac:dyDescent="0.25">
      <c r="A31" s="3" t="s">
        <v>8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20</v>
      </c>
      <c r="J31" s="3">
        <v>0</v>
      </c>
      <c r="Q31" s="2" t="s">
        <v>2</v>
      </c>
    </row>
    <row r="32" spans="1:17" s="2" customFormat="1" x14ac:dyDescent="0.25">
      <c r="A32" s="14" t="s">
        <v>9</v>
      </c>
      <c r="B32" s="14" t="s">
        <v>39</v>
      </c>
      <c r="C32" s="14" t="s">
        <v>88</v>
      </c>
      <c r="D32" s="14" t="s">
        <v>88</v>
      </c>
      <c r="E32" s="14" t="s">
        <v>88</v>
      </c>
      <c r="F32" s="14" t="s">
        <v>88</v>
      </c>
      <c r="G32" s="14" t="s">
        <v>39</v>
      </c>
      <c r="H32" s="14" t="s">
        <v>1</v>
      </c>
      <c r="I32" s="14" t="s">
        <v>1</v>
      </c>
      <c r="J32" s="14" t="s">
        <v>1</v>
      </c>
      <c r="Q32" s="2" t="s">
        <v>2</v>
      </c>
    </row>
    <row r="33" spans="1:18" s="2" customFormat="1" x14ac:dyDescent="0.25">
      <c r="Q33" s="2" t="s">
        <v>2</v>
      </c>
    </row>
    <row r="34" spans="1:18" s="2" customFormat="1" ht="39.6" x14ac:dyDescent="0.25">
      <c r="A34" s="3" t="s">
        <v>3</v>
      </c>
      <c r="B34" s="3" t="s">
        <v>45</v>
      </c>
      <c r="C34" s="3" t="s">
        <v>121</v>
      </c>
      <c r="D34" s="3" t="s">
        <v>121</v>
      </c>
      <c r="E34" s="3" t="s">
        <v>122</v>
      </c>
      <c r="F34" s="3" t="s">
        <v>122</v>
      </c>
      <c r="G34" s="3" t="s">
        <v>46</v>
      </c>
      <c r="H34" s="3" t="s">
        <v>5</v>
      </c>
      <c r="I34" s="3" t="s">
        <v>5</v>
      </c>
      <c r="J34" s="3" t="s">
        <v>13</v>
      </c>
      <c r="Q34" s="2" t="s">
        <v>2</v>
      </c>
    </row>
    <row r="35" spans="1:18" s="2" customFormat="1" x14ac:dyDescent="0.25">
      <c r="A35" s="3" t="s">
        <v>123</v>
      </c>
      <c r="B35" s="3">
        <v>1</v>
      </c>
      <c r="C35" s="3">
        <v>400</v>
      </c>
      <c r="D35" s="3">
        <f>-C35</f>
        <v>-400</v>
      </c>
      <c r="E35" s="3">
        <v>300</v>
      </c>
      <c r="F35" s="3">
        <f>-E35</f>
        <v>-300</v>
      </c>
      <c r="G35" s="3">
        <f>0.02*C35</f>
        <v>8</v>
      </c>
      <c r="H35" s="3">
        <f>-C35</f>
        <v>-400</v>
      </c>
      <c r="I35" s="3">
        <f>-G35</f>
        <v>-8</v>
      </c>
      <c r="J35" s="3">
        <f>E35</f>
        <v>300</v>
      </c>
      <c r="Q35" s="2" t="s">
        <v>2</v>
      </c>
    </row>
    <row r="36" spans="1:18" s="2" customFormat="1" x14ac:dyDescent="0.25">
      <c r="A36" s="3" t="s">
        <v>7</v>
      </c>
      <c r="B36" s="3">
        <v>0</v>
      </c>
      <c r="C36" s="3">
        <v>0</v>
      </c>
      <c r="D36" s="3">
        <v>1</v>
      </c>
      <c r="E36" s="3">
        <v>0</v>
      </c>
      <c r="F36" s="3">
        <v>1</v>
      </c>
      <c r="G36" s="3">
        <v>1</v>
      </c>
      <c r="H36" s="3">
        <v>0</v>
      </c>
      <c r="I36" s="3">
        <v>1</v>
      </c>
      <c r="J36" s="3">
        <v>0</v>
      </c>
      <c r="Q36" s="2" t="s">
        <v>2</v>
      </c>
    </row>
    <row r="37" spans="1:18" s="2" customFormat="1" x14ac:dyDescent="0.25">
      <c r="A37" s="3" t="s">
        <v>8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20</v>
      </c>
      <c r="J37" s="3">
        <v>0</v>
      </c>
      <c r="Q37" s="2" t="s">
        <v>2</v>
      </c>
    </row>
    <row r="38" spans="1:18" s="2" customFormat="1" x14ac:dyDescent="0.25">
      <c r="A38" s="14" t="s">
        <v>9</v>
      </c>
      <c r="B38" s="14" t="s">
        <v>39</v>
      </c>
      <c r="C38" s="14" t="s">
        <v>88</v>
      </c>
      <c r="D38" s="14" t="s">
        <v>88</v>
      </c>
      <c r="E38" s="14" t="s">
        <v>88</v>
      </c>
      <c r="F38" s="14" t="s">
        <v>88</v>
      </c>
      <c r="G38" s="14" t="s">
        <v>39</v>
      </c>
      <c r="H38" s="14" t="s">
        <v>1</v>
      </c>
      <c r="I38" s="14" t="s">
        <v>1</v>
      </c>
      <c r="J38" s="14" t="s">
        <v>1</v>
      </c>
      <c r="Q38" s="2" t="s">
        <v>2</v>
      </c>
    </row>
    <row r="39" spans="1:18" s="2" customFormat="1" x14ac:dyDescent="0.25">
      <c r="Q39" s="2" t="s">
        <v>2</v>
      </c>
    </row>
    <row r="40" spans="1:18" x14ac:dyDescent="0.25">
      <c r="A40" s="17"/>
      <c r="Q40" s="2" t="s">
        <v>2</v>
      </c>
      <c r="R40" s="2"/>
    </row>
    <row r="41" spans="1:18" x14ac:dyDescent="0.25">
      <c r="A41" s="3" t="s">
        <v>10</v>
      </c>
      <c r="B41" s="3" t="s">
        <v>11</v>
      </c>
      <c r="C41" s="3" t="s">
        <v>12</v>
      </c>
      <c r="D41" s="4">
        <v>0</v>
      </c>
      <c r="E41" s="4">
        <v>1</v>
      </c>
      <c r="F41" s="4">
        <v>2</v>
      </c>
      <c r="G41" s="4">
        <v>3</v>
      </c>
      <c r="H41" s="4">
        <v>4</v>
      </c>
      <c r="I41" s="4">
        <v>5</v>
      </c>
      <c r="J41" s="4">
        <v>6</v>
      </c>
      <c r="K41" s="4">
        <v>7</v>
      </c>
      <c r="L41" s="4">
        <v>8</v>
      </c>
      <c r="M41" s="4">
        <v>9</v>
      </c>
      <c r="N41" s="4">
        <v>10</v>
      </c>
      <c r="O41" s="4">
        <v>11</v>
      </c>
      <c r="P41" s="4">
        <v>12</v>
      </c>
      <c r="Q41" s="2" t="s">
        <v>2</v>
      </c>
      <c r="R41" s="2"/>
    </row>
    <row r="42" spans="1:18" s="8" customFormat="1" x14ac:dyDescent="0.25">
      <c r="A42" s="5" t="s">
        <v>108</v>
      </c>
      <c r="B42" s="5">
        <v>-1000000000</v>
      </c>
      <c r="C42" s="5">
        <v>1000000000</v>
      </c>
      <c r="D42" s="5"/>
      <c r="E42" s="5">
        <v>0</v>
      </c>
      <c r="F42" s="5">
        <v>0</v>
      </c>
      <c r="G42" s="5">
        <v>0</v>
      </c>
      <c r="H42" s="5">
        <v>0</v>
      </c>
      <c r="I42" s="5"/>
      <c r="J42" s="5"/>
      <c r="K42" s="5"/>
      <c r="L42" s="5"/>
      <c r="M42" s="5"/>
      <c r="N42" s="5"/>
      <c r="O42" s="5"/>
      <c r="P42" s="5"/>
      <c r="Q42" s="7" t="s">
        <v>2</v>
      </c>
      <c r="R42" s="7"/>
    </row>
    <row r="43" spans="1:18" s="8" customFormat="1" x14ac:dyDescent="0.25">
      <c r="A43" s="5" t="s">
        <v>111</v>
      </c>
      <c r="B43" s="5">
        <v>-1000000000</v>
      </c>
      <c r="C43" s="5">
        <v>1000000000</v>
      </c>
      <c r="D43" s="5"/>
      <c r="E43" s="5">
        <v>0</v>
      </c>
      <c r="F43" s="5">
        <v>0</v>
      </c>
      <c r="G43" s="5">
        <v>0</v>
      </c>
      <c r="H43" s="5">
        <v>0</v>
      </c>
      <c r="I43" s="5"/>
      <c r="J43" s="5"/>
      <c r="K43" s="5"/>
      <c r="L43" s="5"/>
      <c r="M43" s="5"/>
      <c r="N43" s="5"/>
      <c r="O43" s="5"/>
      <c r="P43" s="5"/>
      <c r="Q43" s="7" t="s">
        <v>2</v>
      </c>
      <c r="R43" s="7"/>
    </row>
    <row r="44" spans="1:18" s="8" customFormat="1" x14ac:dyDescent="0.25">
      <c r="A44" s="5" t="s">
        <v>115</v>
      </c>
      <c r="B44" s="5">
        <v>-1000000000</v>
      </c>
      <c r="C44" s="5">
        <v>1000000000</v>
      </c>
      <c r="D44" s="5"/>
      <c r="E44" s="5">
        <v>20000</v>
      </c>
      <c r="F44" s="5">
        <v>10000</v>
      </c>
      <c r="G44" s="5">
        <v>10000</v>
      </c>
      <c r="H44" s="5">
        <v>-10000</v>
      </c>
      <c r="I44" s="5"/>
      <c r="J44" s="5"/>
      <c r="K44" s="5"/>
      <c r="L44" s="5"/>
      <c r="M44" s="5"/>
      <c r="N44" s="5"/>
      <c r="O44" s="5"/>
      <c r="P44" s="5"/>
      <c r="Q44" s="7" t="s">
        <v>2</v>
      </c>
      <c r="R44" s="7"/>
    </row>
    <row r="45" spans="1:18" s="8" customFormat="1" x14ac:dyDescent="0.25">
      <c r="A45" s="5" t="s">
        <v>118</v>
      </c>
      <c r="B45" s="5">
        <v>-1000000000</v>
      </c>
      <c r="C45" s="5">
        <v>1000000000</v>
      </c>
      <c r="D45" s="5"/>
      <c r="E45" s="5">
        <v>60000</v>
      </c>
      <c r="F45" s="5">
        <v>30000</v>
      </c>
      <c r="G45" s="5">
        <v>30000</v>
      </c>
      <c r="H45" s="5">
        <v>-30000</v>
      </c>
      <c r="I45" s="5"/>
      <c r="J45" s="5"/>
      <c r="K45" s="5"/>
      <c r="L45" s="5"/>
      <c r="M45" s="5"/>
      <c r="N45" s="5"/>
      <c r="O45" s="5"/>
      <c r="P45" s="5"/>
      <c r="Q45" s="7" t="s">
        <v>2</v>
      </c>
      <c r="R45" s="7"/>
    </row>
    <row r="46" spans="1:18" s="8" customFormat="1" x14ac:dyDescent="0.25">
      <c r="A46" s="5" t="s">
        <v>121</v>
      </c>
      <c r="B46" s="5">
        <v>-1000000000</v>
      </c>
      <c r="C46" s="5">
        <v>1000000000</v>
      </c>
      <c r="D46" s="5"/>
      <c r="E46" s="5">
        <v>8000</v>
      </c>
      <c r="F46" s="5">
        <v>4000</v>
      </c>
      <c r="G46" s="5">
        <v>4000</v>
      </c>
      <c r="H46" s="5">
        <v>-4000</v>
      </c>
      <c r="I46" s="5"/>
      <c r="J46" s="5"/>
      <c r="K46" s="5"/>
      <c r="L46" s="5"/>
      <c r="M46" s="5"/>
      <c r="N46" s="5"/>
      <c r="O46" s="5"/>
      <c r="P46" s="5"/>
      <c r="Q46" s="7" t="s">
        <v>2</v>
      </c>
      <c r="R46" s="7"/>
    </row>
    <row r="47" spans="1:18" s="12" customFormat="1" x14ac:dyDescent="0.25">
      <c r="A47" s="9" t="s">
        <v>109</v>
      </c>
      <c r="B47" s="9">
        <v>-1000000000</v>
      </c>
      <c r="C47" s="9">
        <v>1000000000</v>
      </c>
      <c r="D47" s="10"/>
      <c r="E47" s="9">
        <v>0</v>
      </c>
      <c r="F47" s="9">
        <v>0</v>
      </c>
      <c r="G47" s="9">
        <v>0</v>
      </c>
      <c r="H47" s="9">
        <v>0</v>
      </c>
      <c r="I47" s="9"/>
      <c r="J47" s="9"/>
      <c r="K47" s="9"/>
      <c r="L47" s="9"/>
      <c r="M47" s="9"/>
      <c r="N47" s="9"/>
      <c r="O47" s="9"/>
      <c r="P47" s="9"/>
      <c r="Q47" s="11" t="s">
        <v>2</v>
      </c>
    </row>
    <row r="48" spans="1:18" s="12" customFormat="1" x14ac:dyDescent="0.25">
      <c r="A48" s="9" t="s">
        <v>112</v>
      </c>
      <c r="B48" s="9">
        <v>-1000000000</v>
      </c>
      <c r="C48" s="9">
        <v>1000000000</v>
      </c>
      <c r="D48" s="10"/>
      <c r="E48" s="9">
        <v>0</v>
      </c>
      <c r="F48" s="9">
        <v>0</v>
      </c>
      <c r="G48" s="9">
        <v>0</v>
      </c>
      <c r="H48" s="9">
        <v>0</v>
      </c>
      <c r="I48" s="9"/>
      <c r="J48" s="9"/>
      <c r="K48" s="9"/>
      <c r="L48" s="9"/>
      <c r="M48" s="9"/>
      <c r="N48" s="9"/>
      <c r="O48" s="9"/>
      <c r="P48" s="9"/>
      <c r="Q48" s="11" t="s">
        <v>2</v>
      </c>
    </row>
    <row r="49" spans="1:256" s="12" customFormat="1" x14ac:dyDescent="0.25">
      <c r="A49" s="9" t="s">
        <v>116</v>
      </c>
      <c r="B49" s="9">
        <v>-1000000000</v>
      </c>
      <c r="C49" s="9">
        <v>1000000000</v>
      </c>
      <c r="D49" s="10"/>
      <c r="E49" s="9">
        <v>18000</v>
      </c>
      <c r="F49" s="9">
        <v>9000</v>
      </c>
      <c r="G49" s="9">
        <v>9000</v>
      </c>
      <c r="H49" s="9">
        <v>-9000</v>
      </c>
      <c r="I49" s="9"/>
      <c r="J49" s="9"/>
      <c r="K49" s="9"/>
      <c r="L49" s="9"/>
      <c r="M49" s="9"/>
      <c r="N49" s="9"/>
      <c r="O49" s="9"/>
      <c r="P49" s="9"/>
      <c r="Q49" s="11" t="s">
        <v>2</v>
      </c>
    </row>
    <row r="50" spans="1:256" s="12" customFormat="1" x14ac:dyDescent="0.25">
      <c r="A50" s="9" t="s">
        <v>119</v>
      </c>
      <c r="B50" s="9">
        <v>-1000000000</v>
      </c>
      <c r="C50" s="9">
        <v>1000000000</v>
      </c>
      <c r="D50" s="10"/>
      <c r="E50" s="9">
        <v>80000</v>
      </c>
      <c r="F50" s="9">
        <v>40000</v>
      </c>
      <c r="G50" s="9">
        <v>40000</v>
      </c>
      <c r="H50" s="9">
        <v>-40000</v>
      </c>
      <c r="I50" s="9"/>
      <c r="J50" s="9"/>
      <c r="K50" s="9"/>
      <c r="L50" s="9"/>
      <c r="M50" s="9"/>
      <c r="N50" s="9"/>
      <c r="O50" s="9"/>
      <c r="P50" s="9"/>
      <c r="Q50" s="11" t="s">
        <v>2</v>
      </c>
    </row>
    <row r="51" spans="1:256" s="12" customFormat="1" x14ac:dyDescent="0.25">
      <c r="A51" s="9" t="s">
        <v>122</v>
      </c>
      <c r="B51" s="9">
        <v>-1000000000</v>
      </c>
      <c r="C51" s="9">
        <v>1000000000</v>
      </c>
      <c r="D51" s="10"/>
      <c r="E51" s="9">
        <v>6000</v>
      </c>
      <c r="F51" s="9">
        <v>3000</v>
      </c>
      <c r="G51" s="9">
        <v>3000</v>
      </c>
      <c r="H51" s="9">
        <v>-3000</v>
      </c>
      <c r="I51" s="9"/>
      <c r="J51" s="9"/>
      <c r="K51" s="9"/>
      <c r="L51" s="9"/>
      <c r="M51" s="9"/>
      <c r="N51" s="9"/>
      <c r="O51" s="9"/>
      <c r="P51" s="9"/>
      <c r="Q51" s="11" t="s">
        <v>2</v>
      </c>
    </row>
    <row r="52" spans="1:256" x14ac:dyDescent="0.25">
      <c r="Q52" s="2" t="s">
        <v>2</v>
      </c>
    </row>
    <row r="53" spans="1:256" x14ac:dyDescent="0.25">
      <c r="C53" s="13"/>
      <c r="Q53" s="2" t="s">
        <v>2</v>
      </c>
    </row>
    <row r="54" spans="1:256" s="2" customFormat="1" x14ac:dyDescent="0.25">
      <c r="A54" s="2" t="s">
        <v>2</v>
      </c>
      <c r="B54" s="2" t="s">
        <v>2</v>
      </c>
      <c r="C54" s="2" t="s">
        <v>2</v>
      </c>
      <c r="D54" s="2" t="s">
        <v>2</v>
      </c>
      <c r="E54" s="2" t="s">
        <v>2</v>
      </c>
      <c r="F54" s="2" t="s">
        <v>2</v>
      </c>
      <c r="G54" s="2" t="s">
        <v>2</v>
      </c>
      <c r="H54" s="2" t="s">
        <v>2</v>
      </c>
      <c r="I54" s="2" t="s">
        <v>2</v>
      </c>
      <c r="J54" s="2" t="s">
        <v>2</v>
      </c>
      <c r="K54" s="2" t="s">
        <v>2</v>
      </c>
      <c r="L54" s="2" t="s">
        <v>2</v>
      </c>
      <c r="M54" s="2" t="s">
        <v>2</v>
      </c>
      <c r="N54" s="2" t="s">
        <v>2</v>
      </c>
      <c r="O54" s="2" t="s">
        <v>2</v>
      </c>
      <c r="P54" s="2" t="s">
        <v>2</v>
      </c>
      <c r="Q54" s="2" t="s">
        <v>2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C2026-A5B5-48BF-B1CD-824173443EB0}">
  <dimension ref="A1:BF23"/>
  <sheetViews>
    <sheetView workbookViewId="0">
      <selection activeCell="M4" sqref="M4"/>
    </sheetView>
  </sheetViews>
  <sheetFormatPr baseColWidth="10" defaultColWidth="8.33203125" defaultRowHeight="13.2" x14ac:dyDescent="0.25"/>
  <cols>
    <col min="1" max="1" width="11.44140625" style="2" customWidth="1"/>
    <col min="2" max="2" width="10.5546875" style="2" bestFit="1" customWidth="1"/>
    <col min="3" max="3" width="6.109375" style="2" bestFit="1" customWidth="1"/>
    <col min="4" max="4" width="9.109375" style="2" bestFit="1" customWidth="1"/>
    <col min="5" max="5" width="9.44140625" style="2" bestFit="1" customWidth="1"/>
    <col min="6" max="6" width="9.6640625" style="2" bestFit="1" customWidth="1"/>
    <col min="7" max="7" width="9.33203125" style="2" bestFit="1" customWidth="1"/>
    <col min="8" max="8" width="9.33203125" style="2" customWidth="1"/>
    <col min="9" max="9" width="9.5546875" style="2" bestFit="1" customWidth="1"/>
    <col min="10" max="10" width="9.5546875" style="2" customWidth="1"/>
    <col min="11" max="11" width="4.109375" style="2" customWidth="1"/>
    <col min="12" max="12" width="6.44140625" style="2" customWidth="1"/>
    <col min="13" max="58" width="4.109375" style="2" customWidth="1"/>
    <col min="59" max="16384" width="8.33203125" style="2"/>
  </cols>
  <sheetData>
    <row r="1" spans="1:58" x14ac:dyDescent="0.25">
      <c r="K1" s="2">
        <v>1</v>
      </c>
      <c r="L1" s="2">
        <v>2</v>
      </c>
      <c r="M1" s="2">
        <v>3</v>
      </c>
      <c r="N1" s="2">
        <v>4</v>
      </c>
      <c r="O1" s="2">
        <v>5</v>
      </c>
      <c r="P1" s="2">
        <v>6</v>
      </c>
      <c r="Q1" s="2">
        <v>7</v>
      </c>
      <c r="R1" s="2">
        <v>8</v>
      </c>
      <c r="S1" s="2">
        <v>9</v>
      </c>
      <c r="T1" s="2">
        <v>10</v>
      </c>
      <c r="U1" s="2">
        <v>11</v>
      </c>
      <c r="V1" s="2">
        <v>12</v>
      </c>
      <c r="W1" s="2">
        <v>13</v>
      </c>
      <c r="X1" s="2">
        <v>14</v>
      </c>
      <c r="Y1" s="2">
        <v>15</v>
      </c>
      <c r="Z1" s="2">
        <v>16</v>
      </c>
      <c r="AA1" s="2">
        <v>17</v>
      </c>
      <c r="AB1" s="2">
        <v>18</v>
      </c>
      <c r="AC1" s="2">
        <v>19</v>
      </c>
      <c r="AD1" s="2">
        <v>20</v>
      </c>
      <c r="AE1" s="2">
        <v>21</v>
      </c>
      <c r="AF1" s="2">
        <v>22</v>
      </c>
      <c r="AG1" s="2">
        <v>23</v>
      </c>
      <c r="AH1" s="2">
        <v>24</v>
      </c>
    </row>
    <row r="2" spans="1:58" x14ac:dyDescent="0.25">
      <c r="D2" s="2" t="s">
        <v>124</v>
      </c>
      <c r="E2" s="2" t="s">
        <v>125</v>
      </c>
      <c r="F2" s="2" t="s">
        <v>126</v>
      </c>
      <c r="G2" s="2" t="s">
        <v>127</v>
      </c>
      <c r="H2" s="2" t="s">
        <v>128</v>
      </c>
      <c r="I2" s="2" t="s">
        <v>129</v>
      </c>
      <c r="J2" s="2" t="s">
        <v>130</v>
      </c>
      <c r="K2" s="2">
        <v>-23</v>
      </c>
      <c r="L2" s="2">
        <v>-22</v>
      </c>
      <c r="M2" s="2">
        <v>-21</v>
      </c>
      <c r="N2" s="2">
        <v>-20</v>
      </c>
      <c r="O2" s="2">
        <v>-19</v>
      </c>
      <c r="P2" s="2">
        <v>-18</v>
      </c>
      <c r="Q2" s="2">
        <v>-17</v>
      </c>
      <c r="R2" s="2">
        <v>-16</v>
      </c>
      <c r="S2" s="2">
        <v>-15</v>
      </c>
      <c r="T2" s="2">
        <v>-14</v>
      </c>
      <c r="U2" s="2">
        <v>-13</v>
      </c>
      <c r="V2" s="2">
        <v>-12</v>
      </c>
      <c r="W2" s="2">
        <v>-11</v>
      </c>
      <c r="X2" s="2">
        <v>-10</v>
      </c>
      <c r="Y2" s="2">
        <v>-9</v>
      </c>
      <c r="Z2" s="2">
        <v>-8</v>
      </c>
      <c r="AA2" s="2">
        <v>-7</v>
      </c>
      <c r="AB2" s="2">
        <v>-6</v>
      </c>
      <c r="AC2" s="2">
        <v>-5</v>
      </c>
      <c r="AD2" s="2">
        <v>-4</v>
      </c>
      <c r="AE2" s="2">
        <v>-3</v>
      </c>
      <c r="AF2" s="2">
        <v>-2</v>
      </c>
      <c r="AG2" s="2">
        <v>-1</v>
      </c>
      <c r="AH2" s="2">
        <v>0</v>
      </c>
      <c r="AI2" s="2">
        <v>1</v>
      </c>
      <c r="AJ2" s="2">
        <v>2</v>
      </c>
      <c r="AK2" s="2">
        <v>3</v>
      </c>
      <c r="AL2" s="2">
        <v>4</v>
      </c>
      <c r="AM2" s="2">
        <v>5</v>
      </c>
      <c r="AN2" s="2">
        <v>6</v>
      </c>
      <c r="AO2" s="2">
        <v>7</v>
      </c>
      <c r="AP2" s="2">
        <v>8</v>
      </c>
      <c r="AQ2" s="2">
        <v>9</v>
      </c>
      <c r="AR2" s="2">
        <v>10</v>
      </c>
      <c r="AS2" s="2">
        <v>11</v>
      </c>
      <c r="AT2" s="2">
        <v>12</v>
      </c>
      <c r="AU2" s="2">
        <v>13</v>
      </c>
      <c r="AV2" s="2">
        <v>14</v>
      </c>
      <c r="AW2" s="2">
        <v>15</v>
      </c>
      <c r="AX2" s="2">
        <v>16</v>
      </c>
      <c r="AY2" s="2">
        <v>17</v>
      </c>
      <c r="AZ2" s="2">
        <v>18</v>
      </c>
      <c r="BA2" s="2">
        <v>19</v>
      </c>
      <c r="BB2" s="2">
        <v>20</v>
      </c>
      <c r="BC2" s="2">
        <v>21</v>
      </c>
      <c r="BD2" s="2">
        <v>22</v>
      </c>
      <c r="BE2" s="2">
        <v>23</v>
      </c>
      <c r="BF2" s="2">
        <v>24</v>
      </c>
    </row>
    <row r="3" spans="1:58" x14ac:dyDescent="0.25">
      <c r="D3" s="2" t="s">
        <v>131</v>
      </c>
      <c r="E3" s="2" t="s">
        <v>132</v>
      </c>
      <c r="F3" s="2" t="s">
        <v>133</v>
      </c>
      <c r="G3" s="2" t="s">
        <v>134</v>
      </c>
      <c r="H3" s="2" t="s">
        <v>135</v>
      </c>
      <c r="I3" s="2" t="s">
        <v>136</v>
      </c>
    </row>
    <row r="4" spans="1:58" x14ac:dyDescent="0.25">
      <c r="A4" s="14" t="s">
        <v>65</v>
      </c>
      <c r="B4" s="2" t="s">
        <v>137</v>
      </c>
      <c r="C4" s="2" t="s">
        <v>138</v>
      </c>
      <c r="D4" s="2">
        <v>0.3</v>
      </c>
      <c r="E4" s="2">
        <v>22</v>
      </c>
      <c r="F4" s="2">
        <v>1</v>
      </c>
      <c r="G4" s="2">
        <v>0.2</v>
      </c>
      <c r="H4" s="2">
        <v>3</v>
      </c>
      <c r="I4" s="2">
        <v>1</v>
      </c>
      <c r="J4" s="2">
        <v>1000</v>
      </c>
      <c r="K4" s="23" t="s">
        <v>139</v>
      </c>
      <c r="M4" s="22" t="s">
        <v>140</v>
      </c>
    </row>
    <row r="5" spans="1:58" x14ac:dyDescent="0.25">
      <c r="A5" s="14" t="s">
        <v>65</v>
      </c>
      <c r="B5" s="2" t="s">
        <v>137</v>
      </c>
      <c r="C5" s="2" t="s">
        <v>141</v>
      </c>
      <c r="D5" s="2">
        <v>0.3</v>
      </c>
      <c r="E5" s="2">
        <v>15</v>
      </c>
      <c r="F5" s="2">
        <v>2</v>
      </c>
      <c r="G5" s="2">
        <v>0.2</v>
      </c>
      <c r="H5" s="2">
        <v>0</v>
      </c>
      <c r="I5" s="2">
        <v>1</v>
      </c>
      <c r="J5" s="2">
        <v>1600</v>
      </c>
    </row>
    <row r="6" spans="1:58" x14ac:dyDescent="0.25">
      <c r="A6" s="14" t="s">
        <v>74</v>
      </c>
      <c r="B6" s="2" t="s">
        <v>142</v>
      </c>
      <c r="C6" s="2" t="s">
        <v>138</v>
      </c>
      <c r="D6" s="2">
        <v>0.15</v>
      </c>
      <c r="E6" s="2">
        <v>22</v>
      </c>
      <c r="F6" s="2">
        <v>-1</v>
      </c>
      <c r="G6" s="2">
        <v>0.2</v>
      </c>
      <c r="H6" s="2">
        <v>0</v>
      </c>
      <c r="I6" s="2">
        <v>1</v>
      </c>
      <c r="J6" s="2">
        <v>700</v>
      </c>
    </row>
    <row r="7" spans="1:58" x14ac:dyDescent="0.25">
      <c r="A7" s="14" t="s">
        <v>74</v>
      </c>
      <c r="B7" s="2" t="s">
        <v>142</v>
      </c>
      <c r="C7" s="2" t="s">
        <v>141</v>
      </c>
      <c r="D7" s="2">
        <v>0.15</v>
      </c>
      <c r="E7" s="2">
        <v>15</v>
      </c>
      <c r="F7" s="2">
        <v>2</v>
      </c>
      <c r="G7" s="2">
        <v>0.2</v>
      </c>
      <c r="H7" s="2">
        <v>0</v>
      </c>
      <c r="I7" s="2">
        <v>1</v>
      </c>
      <c r="J7" s="2">
        <v>1300</v>
      </c>
    </row>
    <row r="8" spans="1:58" x14ac:dyDescent="0.25">
      <c r="A8" s="14" t="s">
        <v>75</v>
      </c>
      <c r="B8" s="2" t="s">
        <v>143</v>
      </c>
      <c r="C8" s="2" t="s">
        <v>138</v>
      </c>
      <c r="D8" s="2">
        <v>0.5</v>
      </c>
      <c r="E8" s="2">
        <v>22</v>
      </c>
      <c r="F8" s="2">
        <v>1</v>
      </c>
      <c r="G8" s="2">
        <v>0.05</v>
      </c>
      <c r="H8" s="2">
        <v>3</v>
      </c>
      <c r="I8" s="2">
        <v>1</v>
      </c>
      <c r="J8" s="2">
        <v>900</v>
      </c>
    </row>
    <row r="9" spans="1:58" x14ac:dyDescent="0.25">
      <c r="A9" s="14" t="s">
        <v>75</v>
      </c>
      <c r="B9" s="2" t="s">
        <v>143</v>
      </c>
      <c r="C9" s="2" t="s">
        <v>141</v>
      </c>
      <c r="D9" s="2">
        <v>0.5</v>
      </c>
      <c r="E9" s="2">
        <v>15</v>
      </c>
      <c r="F9" s="2">
        <v>0</v>
      </c>
      <c r="G9" s="2">
        <v>0.2</v>
      </c>
      <c r="H9" s="2">
        <v>0</v>
      </c>
      <c r="I9" s="2">
        <v>1</v>
      </c>
      <c r="J9" s="2">
        <v>1500</v>
      </c>
    </row>
    <row r="10" spans="1:58" x14ac:dyDescent="0.25">
      <c r="A10" s="14" t="s">
        <v>76</v>
      </c>
      <c r="B10" s="2" t="s">
        <v>144</v>
      </c>
      <c r="C10" s="2" t="s">
        <v>138</v>
      </c>
      <c r="D10" s="2">
        <v>0</v>
      </c>
      <c r="E10" s="2">
        <v>22</v>
      </c>
      <c r="F10" s="2">
        <v>0</v>
      </c>
      <c r="G10" s="2">
        <v>0.2</v>
      </c>
      <c r="H10" s="2">
        <v>0</v>
      </c>
      <c r="I10" s="2">
        <v>1</v>
      </c>
      <c r="J10" s="2">
        <v>900</v>
      </c>
    </row>
    <row r="11" spans="1:58" x14ac:dyDescent="0.25">
      <c r="A11" s="14" t="s">
        <v>76</v>
      </c>
      <c r="B11" s="2" t="s">
        <v>144</v>
      </c>
      <c r="C11" s="2" t="s">
        <v>141</v>
      </c>
      <c r="D11" s="2">
        <v>0</v>
      </c>
      <c r="E11" s="2">
        <v>15</v>
      </c>
      <c r="F11" s="2">
        <v>0</v>
      </c>
      <c r="G11" s="2">
        <v>0.2</v>
      </c>
      <c r="H11" s="2">
        <v>0</v>
      </c>
      <c r="I11" s="2">
        <v>1</v>
      </c>
      <c r="J11" s="2">
        <v>1500</v>
      </c>
    </row>
    <row r="12" spans="1:58" x14ac:dyDescent="0.25">
      <c r="A12" s="14" t="s">
        <v>77</v>
      </c>
      <c r="B12" s="2" t="s">
        <v>145</v>
      </c>
      <c r="C12" s="2" t="s">
        <v>138</v>
      </c>
      <c r="D12" s="2">
        <v>0.15</v>
      </c>
      <c r="E12" s="2">
        <v>22</v>
      </c>
      <c r="F12" s="2">
        <v>-1</v>
      </c>
      <c r="G12" s="2">
        <v>0.5</v>
      </c>
      <c r="H12" s="2">
        <v>0</v>
      </c>
      <c r="I12" s="2">
        <v>2</v>
      </c>
      <c r="J12" s="2">
        <v>1000</v>
      </c>
    </row>
    <row r="13" spans="1:58" x14ac:dyDescent="0.25">
      <c r="A13" s="14" t="s">
        <v>77</v>
      </c>
      <c r="B13" s="2" t="s">
        <v>145</v>
      </c>
      <c r="C13" s="2" t="s">
        <v>141</v>
      </c>
      <c r="D13" s="2">
        <v>0.15</v>
      </c>
      <c r="E13" s="2">
        <v>15</v>
      </c>
      <c r="F13" s="2">
        <v>2</v>
      </c>
      <c r="G13" s="2">
        <v>0.5</v>
      </c>
      <c r="H13" s="2">
        <v>0</v>
      </c>
      <c r="I13" s="2">
        <v>2</v>
      </c>
      <c r="J13" s="2">
        <v>1600</v>
      </c>
    </row>
    <row r="14" spans="1:58" x14ac:dyDescent="0.25">
      <c r="A14" s="14" t="s">
        <v>78</v>
      </c>
      <c r="B14" s="2" t="s">
        <v>146</v>
      </c>
      <c r="C14" s="2" t="s">
        <v>138</v>
      </c>
      <c r="D14" s="2">
        <v>0.1</v>
      </c>
      <c r="E14" s="2">
        <v>22</v>
      </c>
      <c r="F14" s="2">
        <v>-1</v>
      </c>
      <c r="G14" s="2">
        <v>0.5</v>
      </c>
      <c r="H14" s="2">
        <v>0</v>
      </c>
      <c r="I14" s="2">
        <v>2</v>
      </c>
      <c r="J14" s="2">
        <v>600</v>
      </c>
    </row>
    <row r="15" spans="1:58" x14ac:dyDescent="0.25">
      <c r="A15" s="14" t="s">
        <v>78</v>
      </c>
      <c r="B15" s="2" t="s">
        <v>146</v>
      </c>
      <c r="C15" s="2" t="s">
        <v>141</v>
      </c>
      <c r="D15" s="2">
        <v>0.1</v>
      </c>
      <c r="E15" s="2">
        <v>15</v>
      </c>
      <c r="F15" s="2">
        <v>2</v>
      </c>
      <c r="G15" s="2">
        <v>0.5</v>
      </c>
      <c r="H15" s="2">
        <v>0</v>
      </c>
      <c r="I15" s="2">
        <v>2</v>
      </c>
      <c r="J15" s="2">
        <v>1200</v>
      </c>
    </row>
    <row r="16" spans="1:58" x14ac:dyDescent="0.25">
      <c r="A16" s="14" t="s">
        <v>79</v>
      </c>
      <c r="B16" s="2" t="s">
        <v>147</v>
      </c>
      <c r="C16" s="2" t="s">
        <v>138</v>
      </c>
      <c r="D16" s="2">
        <v>0.3</v>
      </c>
      <c r="E16" s="2">
        <v>22</v>
      </c>
      <c r="F16" s="2">
        <v>1</v>
      </c>
      <c r="G16" s="2">
        <v>0.5</v>
      </c>
      <c r="H16" s="2">
        <v>3</v>
      </c>
      <c r="I16" s="2">
        <v>2</v>
      </c>
      <c r="J16" s="2">
        <v>1100</v>
      </c>
    </row>
    <row r="17" spans="1:10" x14ac:dyDescent="0.25">
      <c r="A17" s="14" t="s">
        <v>79</v>
      </c>
      <c r="B17" s="2" t="s">
        <v>147</v>
      </c>
      <c r="C17" s="2" t="s">
        <v>141</v>
      </c>
      <c r="D17" s="2">
        <v>0.3</v>
      </c>
      <c r="E17" s="2">
        <v>15</v>
      </c>
      <c r="F17" s="2">
        <v>-1</v>
      </c>
      <c r="G17" s="2">
        <v>0.5</v>
      </c>
      <c r="H17" s="2">
        <v>0</v>
      </c>
      <c r="I17" s="2">
        <v>2</v>
      </c>
      <c r="J17" s="2">
        <v>1300</v>
      </c>
    </row>
    <row r="18" spans="1:10" x14ac:dyDescent="0.25">
      <c r="A18" s="14" t="s">
        <v>80</v>
      </c>
      <c r="B18" s="2" t="s">
        <v>148</v>
      </c>
      <c r="C18" s="2" t="s">
        <v>138</v>
      </c>
      <c r="D18" s="2">
        <v>-0.5</v>
      </c>
      <c r="E18" s="2">
        <v>22</v>
      </c>
      <c r="F18" s="2">
        <v>2</v>
      </c>
      <c r="G18" s="2">
        <v>0.2</v>
      </c>
      <c r="H18" s="2">
        <v>0</v>
      </c>
      <c r="I18" s="2">
        <v>1</v>
      </c>
      <c r="J18" s="2">
        <v>700</v>
      </c>
    </row>
    <row r="19" spans="1:10" x14ac:dyDescent="0.25">
      <c r="A19" s="14" t="s">
        <v>80</v>
      </c>
      <c r="B19" s="2" t="s">
        <v>148</v>
      </c>
      <c r="C19" s="2" t="s">
        <v>141</v>
      </c>
      <c r="D19" s="2">
        <v>-0.5</v>
      </c>
      <c r="E19" s="2">
        <v>15</v>
      </c>
      <c r="F19" s="2">
        <v>-1</v>
      </c>
      <c r="G19" s="2">
        <v>0.2</v>
      </c>
      <c r="H19" s="2">
        <v>0</v>
      </c>
      <c r="I19" s="2">
        <v>1</v>
      </c>
      <c r="J19" s="2">
        <v>1300</v>
      </c>
    </row>
    <row r="20" spans="1:10" x14ac:dyDescent="0.25">
      <c r="A20" s="14" t="s">
        <v>81</v>
      </c>
      <c r="B20" s="2" t="s">
        <v>149</v>
      </c>
      <c r="C20" s="2" t="s">
        <v>138</v>
      </c>
      <c r="D20" s="2">
        <v>0.1</v>
      </c>
      <c r="E20" s="2">
        <v>22</v>
      </c>
      <c r="F20" s="2">
        <v>0</v>
      </c>
      <c r="G20" s="2">
        <v>0.2</v>
      </c>
      <c r="H20" s="2">
        <v>0</v>
      </c>
      <c r="I20" s="2">
        <v>1</v>
      </c>
      <c r="J20" s="2">
        <v>800</v>
      </c>
    </row>
    <row r="21" spans="1:10" x14ac:dyDescent="0.25">
      <c r="A21" s="14" t="s">
        <v>81</v>
      </c>
      <c r="B21" s="2" t="s">
        <v>149</v>
      </c>
      <c r="C21" s="2" t="s">
        <v>141</v>
      </c>
      <c r="D21" s="2">
        <v>0.1</v>
      </c>
      <c r="E21" s="2">
        <v>15</v>
      </c>
      <c r="F21" s="2">
        <v>1</v>
      </c>
      <c r="G21" s="2">
        <v>0.05</v>
      </c>
      <c r="H21" s="2">
        <v>3</v>
      </c>
      <c r="I21" s="2">
        <v>1</v>
      </c>
      <c r="J21" s="2">
        <v>1400</v>
      </c>
    </row>
    <row r="22" spans="1:10" x14ac:dyDescent="0.25">
      <c r="A22" s="14" t="s">
        <v>82</v>
      </c>
      <c r="B22" s="2" t="s">
        <v>150</v>
      </c>
      <c r="C22" s="2" t="s">
        <v>138</v>
      </c>
      <c r="D22" s="2">
        <v>-0.5</v>
      </c>
      <c r="E22" s="2">
        <v>22</v>
      </c>
      <c r="F22" s="2">
        <v>0</v>
      </c>
      <c r="G22" s="2">
        <v>0.2</v>
      </c>
      <c r="H22" s="2">
        <v>0</v>
      </c>
      <c r="I22" s="2">
        <v>1</v>
      </c>
      <c r="J22" s="2">
        <v>1000</v>
      </c>
    </row>
    <row r="23" spans="1:10" x14ac:dyDescent="0.25">
      <c r="A23" s="14" t="s">
        <v>82</v>
      </c>
      <c r="B23" s="2" t="s">
        <v>150</v>
      </c>
      <c r="C23" s="2" t="s">
        <v>141</v>
      </c>
      <c r="D23" s="2">
        <v>-0.5</v>
      </c>
      <c r="E23" s="2">
        <v>15</v>
      </c>
      <c r="F23" s="2">
        <v>-1</v>
      </c>
      <c r="G23" s="2">
        <v>0.05</v>
      </c>
      <c r="H23" s="2">
        <v>0</v>
      </c>
      <c r="I23" s="2">
        <v>1</v>
      </c>
      <c r="J23" s="2">
        <v>1600</v>
      </c>
    </row>
  </sheetData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27285-32AF-420F-94F4-4D965BAF5BC6}">
  <sheetPr>
    <pageSetUpPr fitToPage="1"/>
  </sheetPr>
  <dimension ref="A1:BF89"/>
  <sheetViews>
    <sheetView workbookViewId="0">
      <selection activeCell="I83" sqref="I83"/>
    </sheetView>
  </sheetViews>
  <sheetFormatPr baseColWidth="10" defaultColWidth="8.33203125" defaultRowHeight="13.2" x14ac:dyDescent="0.25"/>
  <cols>
    <col min="1" max="1" width="13.5546875" style="2" customWidth="1"/>
    <col min="2" max="3" width="9.5546875" style="2" customWidth="1"/>
    <col min="4" max="5" width="5.44140625" style="2" customWidth="1"/>
    <col min="6" max="9" width="10.44140625" style="2" customWidth="1"/>
    <col min="10" max="10" width="8.6640625" style="2" customWidth="1"/>
    <col min="11" max="14" width="3.33203125" style="2" customWidth="1"/>
    <col min="15" max="57" width="4.109375" style="2" customWidth="1"/>
    <col min="58" max="58" width="6.6640625" style="2" customWidth="1"/>
    <col min="59" max="16384" width="8.33203125" style="2"/>
  </cols>
  <sheetData>
    <row r="1" spans="1:58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">
        <v>1</v>
      </c>
      <c r="L1" s="2">
        <v>2</v>
      </c>
      <c r="M1" s="2">
        <v>3</v>
      </c>
      <c r="N1" s="2">
        <v>4</v>
      </c>
      <c r="O1" s="2">
        <v>5</v>
      </c>
      <c r="P1" s="2">
        <v>6</v>
      </c>
      <c r="Q1" s="2">
        <v>7</v>
      </c>
      <c r="R1" s="2">
        <v>8</v>
      </c>
      <c r="S1" s="2">
        <v>9</v>
      </c>
      <c r="T1" s="2">
        <v>10</v>
      </c>
      <c r="U1" s="2">
        <v>11</v>
      </c>
      <c r="V1" s="2">
        <v>12</v>
      </c>
      <c r="W1" s="2">
        <v>13</v>
      </c>
      <c r="X1" s="2">
        <v>14</v>
      </c>
      <c r="Y1" s="2">
        <v>15</v>
      </c>
      <c r="Z1" s="2">
        <v>16</v>
      </c>
      <c r="AA1" s="2">
        <v>17</v>
      </c>
      <c r="AB1" s="2">
        <v>18</v>
      </c>
      <c r="AC1" s="2">
        <v>19</v>
      </c>
      <c r="AD1" s="2">
        <v>20</v>
      </c>
      <c r="AE1" s="2">
        <v>21</v>
      </c>
      <c r="AF1" s="2">
        <v>22</v>
      </c>
      <c r="AG1" s="2">
        <v>23</v>
      </c>
      <c r="AH1" s="2">
        <v>24</v>
      </c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</row>
    <row r="2" spans="1:58" x14ac:dyDescent="0.25">
      <c r="A2" s="20"/>
      <c r="B2" s="20"/>
      <c r="C2" s="20"/>
      <c r="D2" s="2" t="s">
        <v>124</v>
      </c>
      <c r="E2" s="2" t="s">
        <v>125</v>
      </c>
      <c r="F2" s="2" t="s">
        <v>126</v>
      </c>
      <c r="G2" s="2" t="s">
        <v>127</v>
      </c>
      <c r="H2" s="2" t="s">
        <v>128</v>
      </c>
      <c r="I2" s="2" t="s">
        <v>129</v>
      </c>
      <c r="J2" s="2" t="s">
        <v>130</v>
      </c>
      <c r="K2" s="2">
        <v>-23</v>
      </c>
      <c r="L2" s="2">
        <v>-22</v>
      </c>
      <c r="M2" s="2">
        <v>-21</v>
      </c>
      <c r="N2" s="2">
        <v>-20</v>
      </c>
      <c r="O2" s="2">
        <v>-19</v>
      </c>
      <c r="P2" s="2">
        <v>-18</v>
      </c>
      <c r="Q2" s="2">
        <v>-17</v>
      </c>
      <c r="R2" s="2">
        <v>-16</v>
      </c>
      <c r="S2" s="2">
        <v>-15</v>
      </c>
      <c r="T2" s="2">
        <v>-14</v>
      </c>
      <c r="U2" s="2">
        <v>-13</v>
      </c>
      <c r="V2" s="2">
        <v>-12</v>
      </c>
      <c r="W2" s="2">
        <v>-11</v>
      </c>
      <c r="X2" s="2">
        <v>-10</v>
      </c>
      <c r="Y2" s="2">
        <v>-9</v>
      </c>
      <c r="Z2" s="2">
        <v>-8</v>
      </c>
      <c r="AA2" s="2">
        <v>-7</v>
      </c>
      <c r="AB2" s="2">
        <v>-6</v>
      </c>
      <c r="AC2" s="2">
        <v>-5</v>
      </c>
      <c r="AD2" s="2">
        <v>-4</v>
      </c>
      <c r="AE2" s="2">
        <v>-3</v>
      </c>
      <c r="AF2" s="2">
        <v>-2</v>
      </c>
      <c r="AG2" s="2">
        <v>-1</v>
      </c>
      <c r="AH2" s="2">
        <v>0</v>
      </c>
      <c r="AI2" s="2">
        <v>1</v>
      </c>
      <c r="AJ2" s="2">
        <v>2</v>
      </c>
      <c r="AK2" s="2">
        <v>3</v>
      </c>
      <c r="AL2" s="2">
        <v>4</v>
      </c>
      <c r="AM2" s="2">
        <v>5</v>
      </c>
      <c r="AN2" s="2">
        <v>6</v>
      </c>
      <c r="AO2" s="2">
        <v>7</v>
      </c>
      <c r="AP2" s="2">
        <v>8</v>
      </c>
      <c r="AQ2" s="2">
        <v>9</v>
      </c>
      <c r="AR2" s="2">
        <v>10</v>
      </c>
      <c r="AS2" s="2">
        <v>11</v>
      </c>
      <c r="AT2" s="2">
        <v>12</v>
      </c>
      <c r="AU2" s="2">
        <v>13</v>
      </c>
      <c r="AV2" s="2">
        <v>14</v>
      </c>
      <c r="AW2" s="2">
        <v>15</v>
      </c>
      <c r="AX2" s="2">
        <v>16</v>
      </c>
      <c r="AY2" s="2">
        <v>17</v>
      </c>
      <c r="AZ2" s="2">
        <v>18</v>
      </c>
      <c r="BA2" s="2">
        <v>19</v>
      </c>
      <c r="BB2" s="2">
        <v>20</v>
      </c>
      <c r="BC2" s="2">
        <v>21</v>
      </c>
      <c r="BD2" s="2">
        <v>22</v>
      </c>
      <c r="BE2" s="2">
        <v>23</v>
      </c>
      <c r="BF2" s="2">
        <v>24</v>
      </c>
    </row>
    <row r="3" spans="1:58" x14ac:dyDescent="0.25">
      <c r="A3" s="20"/>
      <c r="B3" s="20"/>
      <c r="C3" s="20"/>
      <c r="D3" s="2" t="s">
        <v>131</v>
      </c>
      <c r="E3" s="2" t="s">
        <v>132</v>
      </c>
      <c r="F3" s="2" t="s">
        <v>133</v>
      </c>
      <c r="G3" s="2" t="s">
        <v>134</v>
      </c>
      <c r="H3" s="2" t="s">
        <v>135</v>
      </c>
      <c r="I3" s="2" t="s">
        <v>136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</row>
    <row r="4" spans="1:58" x14ac:dyDescent="0.25">
      <c r="A4" s="2" t="s">
        <v>65</v>
      </c>
      <c r="B4" s="2" t="s">
        <v>94</v>
      </c>
      <c r="C4" s="2" t="s">
        <v>151</v>
      </c>
      <c r="D4" s="2">
        <v>0.4</v>
      </c>
      <c r="E4" s="2">
        <v>21</v>
      </c>
      <c r="F4" s="2">
        <v>1</v>
      </c>
      <c r="G4" s="2">
        <v>0.2</v>
      </c>
      <c r="H4" s="2">
        <v>2</v>
      </c>
      <c r="I4" s="2">
        <v>1</v>
      </c>
      <c r="J4" s="7">
        <v>1000</v>
      </c>
      <c r="K4" s="2">
        <v>10</v>
      </c>
      <c r="L4" s="2">
        <v>14</v>
      </c>
      <c r="M4" s="2">
        <v>15</v>
      </c>
      <c r="N4" s="2">
        <v>15</v>
      </c>
      <c r="O4" s="2">
        <v>15</v>
      </c>
      <c r="P4" s="2">
        <v>16</v>
      </c>
      <c r="Q4" s="2">
        <v>15</v>
      </c>
      <c r="R4" s="2">
        <v>15</v>
      </c>
      <c r="S4" s="2">
        <v>14</v>
      </c>
      <c r="T4" s="2">
        <v>13</v>
      </c>
      <c r="U4" s="2">
        <v>13</v>
      </c>
      <c r="V4" s="2">
        <v>13</v>
      </c>
      <c r="W4" s="2">
        <v>15</v>
      </c>
      <c r="X4" s="2">
        <v>16</v>
      </c>
      <c r="Y4" s="2">
        <v>22</v>
      </c>
      <c r="Z4" s="2">
        <v>20</v>
      </c>
      <c r="AA4" s="2">
        <v>21</v>
      </c>
      <c r="AB4" s="2">
        <v>22</v>
      </c>
      <c r="AC4" s="2">
        <v>19</v>
      </c>
      <c r="AD4" s="2">
        <v>19</v>
      </c>
      <c r="AE4" s="2">
        <v>18</v>
      </c>
      <c r="AF4" s="2">
        <v>17</v>
      </c>
      <c r="AG4" s="2">
        <v>16</v>
      </c>
      <c r="AH4" s="2">
        <v>19</v>
      </c>
      <c r="AI4" s="2">
        <v>20</v>
      </c>
      <c r="AJ4" s="2">
        <v>22</v>
      </c>
      <c r="AK4" s="2">
        <v>24</v>
      </c>
      <c r="AL4" s="2">
        <v>26</v>
      </c>
      <c r="AM4" s="2">
        <v>28</v>
      </c>
      <c r="AN4" s="2">
        <v>28</v>
      </c>
      <c r="AO4" s="2">
        <v>25</v>
      </c>
      <c r="AP4" s="2">
        <v>25</v>
      </c>
      <c r="AQ4" s="2">
        <v>22</v>
      </c>
      <c r="AR4" s="2">
        <v>19</v>
      </c>
      <c r="AS4" s="2">
        <v>21</v>
      </c>
      <c r="AT4" s="2">
        <v>20</v>
      </c>
      <c r="AU4" s="2">
        <v>24</v>
      </c>
      <c r="AV4" s="2">
        <v>26</v>
      </c>
      <c r="AW4" s="2">
        <v>28</v>
      </c>
      <c r="AX4" s="2">
        <v>31</v>
      </c>
      <c r="AY4" s="2">
        <v>34</v>
      </c>
      <c r="AZ4" s="2">
        <v>33</v>
      </c>
      <c r="BA4" s="2">
        <v>32</v>
      </c>
      <c r="BB4" s="2">
        <v>30</v>
      </c>
      <c r="BC4" s="2">
        <v>27</v>
      </c>
      <c r="BD4" s="2">
        <v>24</v>
      </c>
      <c r="BE4" s="2">
        <v>23</v>
      </c>
      <c r="BF4" s="2">
        <v>24</v>
      </c>
    </row>
    <row r="5" spans="1:58" x14ac:dyDescent="0.25">
      <c r="A5" s="2" t="s">
        <v>65</v>
      </c>
      <c r="B5" s="2" t="s">
        <v>94</v>
      </c>
      <c r="C5" s="2" t="s">
        <v>152</v>
      </c>
      <c r="D5" s="2">
        <v>0.4</v>
      </c>
      <c r="E5" s="2">
        <v>16</v>
      </c>
      <c r="F5" s="2">
        <v>1</v>
      </c>
      <c r="G5" s="2">
        <v>0.2</v>
      </c>
      <c r="H5" s="2">
        <v>2</v>
      </c>
      <c r="I5" s="2">
        <v>1</v>
      </c>
      <c r="J5" s="7">
        <v>1600</v>
      </c>
      <c r="K5" s="2">
        <v>5</v>
      </c>
      <c r="L5" s="2">
        <v>6</v>
      </c>
      <c r="M5" s="2">
        <v>8</v>
      </c>
      <c r="N5" s="2">
        <v>10</v>
      </c>
      <c r="O5" s="2">
        <v>11</v>
      </c>
      <c r="P5" s="2">
        <v>11</v>
      </c>
      <c r="Q5" s="2">
        <v>11</v>
      </c>
      <c r="R5" s="2">
        <v>11</v>
      </c>
      <c r="S5" s="2">
        <v>10</v>
      </c>
      <c r="T5" s="2">
        <v>9</v>
      </c>
      <c r="U5" s="2">
        <v>8</v>
      </c>
      <c r="V5" s="2">
        <v>8</v>
      </c>
      <c r="W5" s="2">
        <v>12</v>
      </c>
      <c r="X5" s="2">
        <v>13</v>
      </c>
      <c r="Y5" s="2">
        <v>15</v>
      </c>
      <c r="Z5" s="2">
        <v>15</v>
      </c>
      <c r="AA5" s="2">
        <v>15</v>
      </c>
      <c r="AB5" s="2">
        <v>15</v>
      </c>
      <c r="AC5" s="2">
        <v>15</v>
      </c>
      <c r="AD5" s="2">
        <v>15</v>
      </c>
      <c r="AE5" s="2">
        <v>12</v>
      </c>
      <c r="AF5" s="2">
        <v>13</v>
      </c>
      <c r="AG5" s="2">
        <v>13</v>
      </c>
      <c r="AH5" s="2">
        <v>13</v>
      </c>
      <c r="AI5" s="2">
        <v>15</v>
      </c>
      <c r="AJ5" s="2">
        <v>17</v>
      </c>
      <c r="AK5" s="2">
        <v>20</v>
      </c>
      <c r="AL5" s="2">
        <v>21</v>
      </c>
      <c r="AM5" s="2">
        <v>20</v>
      </c>
      <c r="AN5" s="2">
        <v>23</v>
      </c>
      <c r="AO5" s="2">
        <v>22</v>
      </c>
      <c r="AP5" s="2">
        <v>18</v>
      </c>
      <c r="AQ5" s="2">
        <v>18</v>
      </c>
      <c r="AR5" s="2">
        <v>17</v>
      </c>
      <c r="AS5" s="2">
        <v>16</v>
      </c>
      <c r="AT5" s="2">
        <v>17</v>
      </c>
      <c r="AU5" s="2">
        <v>19</v>
      </c>
      <c r="AV5" s="2">
        <v>20</v>
      </c>
      <c r="AW5" s="2">
        <v>25</v>
      </c>
      <c r="AX5" s="2">
        <v>25</v>
      </c>
      <c r="AY5" s="2">
        <v>29</v>
      </c>
      <c r="AZ5" s="2">
        <v>26</v>
      </c>
      <c r="BA5" s="2">
        <v>25</v>
      </c>
      <c r="BB5" s="2">
        <v>24</v>
      </c>
      <c r="BC5" s="2">
        <v>22</v>
      </c>
      <c r="BD5" s="2">
        <v>21</v>
      </c>
      <c r="BE5" s="2">
        <v>19</v>
      </c>
      <c r="BF5" s="2">
        <v>20</v>
      </c>
    </row>
    <row r="6" spans="1:58" x14ac:dyDescent="0.25">
      <c r="A6" s="2" t="s">
        <v>74</v>
      </c>
      <c r="B6" s="2" t="s">
        <v>95</v>
      </c>
      <c r="C6" s="2" t="s">
        <v>151</v>
      </c>
      <c r="D6" s="2">
        <v>0</v>
      </c>
      <c r="E6" s="2">
        <v>22</v>
      </c>
      <c r="F6" s="2">
        <v>0</v>
      </c>
      <c r="G6" s="2">
        <v>0.2</v>
      </c>
      <c r="H6" s="2">
        <v>0</v>
      </c>
      <c r="I6" s="2">
        <v>1</v>
      </c>
      <c r="J6" s="7">
        <v>700</v>
      </c>
      <c r="K6" s="2">
        <v>22</v>
      </c>
      <c r="L6" s="2">
        <v>20</v>
      </c>
      <c r="M6" s="2">
        <v>24</v>
      </c>
      <c r="N6" s="2">
        <v>21</v>
      </c>
      <c r="O6" s="2">
        <v>23</v>
      </c>
      <c r="P6" s="2">
        <v>21</v>
      </c>
      <c r="Q6" s="2">
        <v>22</v>
      </c>
      <c r="R6" s="2">
        <v>21</v>
      </c>
      <c r="S6" s="2">
        <v>22</v>
      </c>
      <c r="T6" s="2">
        <v>22</v>
      </c>
      <c r="U6" s="2">
        <v>23</v>
      </c>
      <c r="V6" s="2">
        <v>23</v>
      </c>
      <c r="W6" s="2">
        <v>21</v>
      </c>
      <c r="X6" s="2">
        <v>22</v>
      </c>
      <c r="Y6" s="2">
        <v>22</v>
      </c>
      <c r="Z6" s="2">
        <v>22</v>
      </c>
      <c r="AA6" s="2">
        <v>23</v>
      </c>
      <c r="AB6" s="2">
        <v>21</v>
      </c>
      <c r="AC6" s="2">
        <v>21</v>
      </c>
      <c r="AD6" s="2">
        <v>21</v>
      </c>
      <c r="AE6" s="2">
        <v>23</v>
      </c>
      <c r="AF6" s="2">
        <v>22</v>
      </c>
      <c r="AG6" s="2">
        <v>24</v>
      </c>
      <c r="AH6" s="2">
        <v>21</v>
      </c>
      <c r="AI6" s="2">
        <v>20</v>
      </c>
      <c r="AJ6" s="2">
        <v>22</v>
      </c>
      <c r="AK6" s="2">
        <v>20</v>
      </c>
      <c r="AL6" s="2">
        <v>21</v>
      </c>
      <c r="AM6" s="2">
        <v>22</v>
      </c>
      <c r="AN6" s="2">
        <v>21</v>
      </c>
      <c r="AO6" s="2">
        <v>22</v>
      </c>
      <c r="AP6" s="2">
        <v>22</v>
      </c>
      <c r="AQ6" s="2">
        <v>24</v>
      </c>
      <c r="AR6" s="2">
        <v>22</v>
      </c>
      <c r="AS6" s="2">
        <v>23</v>
      </c>
      <c r="AT6" s="2">
        <v>23</v>
      </c>
      <c r="AU6" s="2">
        <v>23</v>
      </c>
      <c r="AV6" s="2">
        <v>22</v>
      </c>
      <c r="AW6" s="2">
        <v>23</v>
      </c>
      <c r="AX6" s="2">
        <v>22</v>
      </c>
      <c r="AY6" s="2">
        <v>24</v>
      </c>
      <c r="AZ6" s="2">
        <v>22</v>
      </c>
      <c r="BA6" s="2">
        <v>21</v>
      </c>
      <c r="BB6" s="2">
        <v>21</v>
      </c>
      <c r="BC6" s="2">
        <v>20</v>
      </c>
      <c r="BD6" s="2">
        <v>23</v>
      </c>
      <c r="BE6" s="2">
        <v>21</v>
      </c>
      <c r="BF6" s="2">
        <v>23</v>
      </c>
    </row>
    <row r="7" spans="1:58" x14ac:dyDescent="0.25">
      <c r="A7" s="2" t="s">
        <v>74</v>
      </c>
      <c r="B7" s="2" t="s">
        <v>95</v>
      </c>
      <c r="C7" s="2" t="s">
        <v>152</v>
      </c>
      <c r="D7" s="2">
        <v>0</v>
      </c>
      <c r="E7" s="2">
        <v>15</v>
      </c>
      <c r="F7" s="2">
        <v>0</v>
      </c>
      <c r="G7" s="2">
        <v>0.2</v>
      </c>
      <c r="H7" s="2">
        <v>0</v>
      </c>
      <c r="I7" s="2">
        <v>1</v>
      </c>
      <c r="J7" s="7">
        <v>1300</v>
      </c>
      <c r="K7" s="2">
        <v>15</v>
      </c>
      <c r="L7" s="2">
        <v>14</v>
      </c>
      <c r="M7" s="2">
        <v>15</v>
      </c>
      <c r="N7" s="2">
        <v>15</v>
      </c>
      <c r="O7" s="2">
        <v>14</v>
      </c>
      <c r="P7" s="2">
        <v>15</v>
      </c>
      <c r="Q7" s="2">
        <v>15</v>
      </c>
      <c r="R7" s="2">
        <v>13</v>
      </c>
      <c r="S7" s="2">
        <v>14</v>
      </c>
      <c r="T7" s="2">
        <v>14</v>
      </c>
      <c r="U7" s="2">
        <v>15</v>
      </c>
      <c r="V7" s="2">
        <v>15</v>
      </c>
      <c r="W7" s="2">
        <v>15</v>
      </c>
      <c r="X7" s="2">
        <v>14</v>
      </c>
      <c r="Y7" s="2">
        <v>14</v>
      </c>
      <c r="Z7" s="2">
        <v>17</v>
      </c>
      <c r="AA7" s="2">
        <v>13</v>
      </c>
      <c r="AB7" s="2">
        <v>14</v>
      </c>
      <c r="AC7" s="2">
        <v>14</v>
      </c>
      <c r="AD7" s="2">
        <v>17</v>
      </c>
      <c r="AE7" s="2">
        <v>15</v>
      </c>
      <c r="AF7" s="2">
        <v>16</v>
      </c>
      <c r="AG7" s="2">
        <v>14</v>
      </c>
      <c r="AH7" s="2">
        <v>13</v>
      </c>
      <c r="AI7" s="2">
        <v>14</v>
      </c>
      <c r="AJ7" s="2">
        <v>17</v>
      </c>
      <c r="AK7" s="2">
        <v>16</v>
      </c>
      <c r="AL7" s="2">
        <v>15</v>
      </c>
      <c r="AM7" s="2">
        <v>14</v>
      </c>
      <c r="AN7" s="2">
        <v>15</v>
      </c>
      <c r="AO7" s="2">
        <v>15</v>
      </c>
      <c r="AP7" s="2">
        <v>15</v>
      </c>
      <c r="AQ7" s="2">
        <v>16</v>
      </c>
      <c r="AR7" s="2">
        <v>16</v>
      </c>
      <c r="AS7" s="2">
        <v>15</v>
      </c>
      <c r="AT7" s="2">
        <v>14</v>
      </c>
      <c r="AU7" s="2">
        <v>15</v>
      </c>
      <c r="AV7" s="2">
        <v>16</v>
      </c>
      <c r="AW7" s="2">
        <v>15</v>
      </c>
      <c r="AX7" s="2">
        <v>15</v>
      </c>
      <c r="AY7" s="2">
        <v>17</v>
      </c>
      <c r="AZ7" s="2">
        <v>15</v>
      </c>
      <c r="BA7" s="2">
        <v>16</v>
      </c>
      <c r="BB7" s="2">
        <v>16</v>
      </c>
      <c r="BC7" s="2">
        <v>14</v>
      </c>
      <c r="BD7" s="2">
        <v>15</v>
      </c>
      <c r="BE7" s="2">
        <v>16</v>
      </c>
      <c r="BF7" s="2">
        <v>13</v>
      </c>
    </row>
    <row r="8" spans="1:58" x14ac:dyDescent="0.25">
      <c r="A8" s="2" t="s">
        <v>75</v>
      </c>
      <c r="B8" s="2" t="s">
        <v>96</v>
      </c>
      <c r="C8" s="2" t="s">
        <v>151</v>
      </c>
      <c r="D8" s="2">
        <v>0</v>
      </c>
      <c r="E8" s="2">
        <v>22</v>
      </c>
      <c r="F8" s="2">
        <v>-1</v>
      </c>
      <c r="G8" s="2">
        <v>0.2</v>
      </c>
      <c r="H8" s="2">
        <v>3</v>
      </c>
      <c r="I8" s="2">
        <v>1</v>
      </c>
      <c r="J8" s="7">
        <v>900</v>
      </c>
      <c r="K8" s="2">
        <v>27</v>
      </c>
      <c r="L8" s="2">
        <v>24</v>
      </c>
      <c r="M8" s="2">
        <v>22</v>
      </c>
      <c r="N8" s="2">
        <v>21</v>
      </c>
      <c r="O8" s="2">
        <v>19</v>
      </c>
      <c r="P8" s="2">
        <v>19</v>
      </c>
      <c r="Q8" s="2">
        <v>19</v>
      </c>
      <c r="R8" s="2">
        <v>19</v>
      </c>
      <c r="S8" s="2">
        <v>21</v>
      </c>
      <c r="T8" s="2">
        <v>24</v>
      </c>
      <c r="U8" s="2">
        <v>26</v>
      </c>
      <c r="V8" s="2">
        <v>26</v>
      </c>
      <c r="W8" s="2">
        <v>26</v>
      </c>
      <c r="X8" s="2">
        <v>25</v>
      </c>
      <c r="Y8" s="2">
        <v>24</v>
      </c>
      <c r="Z8" s="2">
        <v>22</v>
      </c>
      <c r="AA8" s="2">
        <v>17</v>
      </c>
      <c r="AB8" s="2">
        <v>16</v>
      </c>
      <c r="AC8" s="2">
        <v>20</v>
      </c>
      <c r="AD8" s="2">
        <v>18</v>
      </c>
      <c r="AE8" s="2">
        <v>22</v>
      </c>
      <c r="AF8" s="2">
        <v>25</v>
      </c>
      <c r="AG8" s="2">
        <v>25</v>
      </c>
      <c r="AH8" s="2">
        <v>25</v>
      </c>
      <c r="AI8" s="2">
        <v>24</v>
      </c>
      <c r="AJ8" s="2">
        <v>24</v>
      </c>
      <c r="AK8" s="2">
        <v>21</v>
      </c>
      <c r="AL8" s="2">
        <v>22</v>
      </c>
      <c r="AM8" s="2">
        <v>17</v>
      </c>
      <c r="AN8" s="2">
        <v>16</v>
      </c>
      <c r="AO8" s="2">
        <v>19</v>
      </c>
      <c r="AP8" s="2">
        <v>20</v>
      </c>
      <c r="AQ8" s="2">
        <v>21</v>
      </c>
      <c r="AR8" s="2">
        <v>24</v>
      </c>
      <c r="AS8" s="2">
        <v>25</v>
      </c>
      <c r="AT8" s="2">
        <v>27</v>
      </c>
      <c r="AU8" s="2">
        <v>25</v>
      </c>
      <c r="AV8" s="2">
        <v>25</v>
      </c>
      <c r="AW8" s="2">
        <v>21</v>
      </c>
      <c r="AX8" s="2">
        <v>21</v>
      </c>
      <c r="AY8" s="2">
        <v>19</v>
      </c>
      <c r="AZ8" s="2">
        <v>18</v>
      </c>
      <c r="BA8" s="2">
        <v>19</v>
      </c>
      <c r="BB8" s="2">
        <v>20</v>
      </c>
      <c r="BC8" s="2">
        <v>23</v>
      </c>
      <c r="BD8" s="2">
        <v>23</v>
      </c>
      <c r="BE8" s="2">
        <v>26</v>
      </c>
      <c r="BF8" s="2">
        <v>25</v>
      </c>
    </row>
    <row r="9" spans="1:58" x14ac:dyDescent="0.25">
      <c r="A9" s="2" t="s">
        <v>75</v>
      </c>
      <c r="B9" s="2" t="s">
        <v>96</v>
      </c>
      <c r="C9" s="2" t="s">
        <v>152</v>
      </c>
      <c r="D9" s="2">
        <v>0</v>
      </c>
      <c r="E9" s="2">
        <v>15</v>
      </c>
      <c r="F9" s="2">
        <v>-1</v>
      </c>
      <c r="G9" s="2">
        <v>0.2</v>
      </c>
      <c r="H9" s="2">
        <v>0</v>
      </c>
      <c r="I9" s="2">
        <v>1</v>
      </c>
      <c r="J9" s="7">
        <v>1500</v>
      </c>
      <c r="K9" s="2">
        <v>13</v>
      </c>
      <c r="L9" s="2">
        <v>14</v>
      </c>
      <c r="M9" s="2">
        <v>14</v>
      </c>
      <c r="N9" s="2">
        <v>14</v>
      </c>
      <c r="O9" s="2">
        <v>13</v>
      </c>
      <c r="P9" s="2">
        <v>14</v>
      </c>
      <c r="Q9" s="2">
        <v>17</v>
      </c>
      <c r="R9" s="2">
        <v>16</v>
      </c>
      <c r="S9" s="2">
        <v>19</v>
      </c>
      <c r="T9" s="2">
        <v>17</v>
      </c>
      <c r="U9" s="2">
        <v>17</v>
      </c>
      <c r="V9" s="2">
        <v>15</v>
      </c>
      <c r="W9" s="2">
        <v>13</v>
      </c>
      <c r="X9" s="2">
        <v>11</v>
      </c>
      <c r="Y9" s="2">
        <v>12</v>
      </c>
      <c r="Z9" s="2">
        <v>12</v>
      </c>
      <c r="AA9" s="2">
        <v>14</v>
      </c>
      <c r="AB9" s="2">
        <v>14</v>
      </c>
      <c r="AC9" s="2">
        <v>16</v>
      </c>
      <c r="AD9" s="2">
        <v>17</v>
      </c>
      <c r="AE9" s="2">
        <v>20</v>
      </c>
      <c r="AF9" s="2">
        <v>16</v>
      </c>
      <c r="AG9" s="2">
        <v>17</v>
      </c>
      <c r="AH9" s="2">
        <v>17</v>
      </c>
      <c r="AI9" s="2">
        <v>14</v>
      </c>
      <c r="AJ9" s="2">
        <v>13</v>
      </c>
      <c r="AK9" s="2">
        <v>12</v>
      </c>
      <c r="AL9" s="2">
        <v>11</v>
      </c>
      <c r="AM9" s="2">
        <v>14</v>
      </c>
      <c r="AN9" s="2">
        <v>14</v>
      </c>
      <c r="AO9" s="2">
        <v>17</v>
      </c>
      <c r="AP9" s="2">
        <v>17</v>
      </c>
      <c r="AQ9" s="2">
        <v>15</v>
      </c>
      <c r="AR9" s="2">
        <v>18</v>
      </c>
      <c r="AS9" s="2">
        <v>18</v>
      </c>
      <c r="AT9" s="2">
        <v>15</v>
      </c>
      <c r="AU9" s="2">
        <v>13</v>
      </c>
      <c r="AV9" s="2">
        <v>12</v>
      </c>
      <c r="AW9" s="2">
        <v>12</v>
      </c>
      <c r="AX9" s="2">
        <v>13</v>
      </c>
      <c r="AY9" s="2">
        <v>14</v>
      </c>
      <c r="AZ9" s="2">
        <v>16</v>
      </c>
      <c r="BA9" s="2">
        <v>18</v>
      </c>
      <c r="BB9" s="2">
        <v>16</v>
      </c>
      <c r="BC9" s="2">
        <v>17</v>
      </c>
      <c r="BD9" s="2">
        <v>19</v>
      </c>
      <c r="BE9" s="2">
        <v>16</v>
      </c>
      <c r="BF9" s="2">
        <v>14</v>
      </c>
    </row>
    <row r="10" spans="1:58" x14ac:dyDescent="0.25">
      <c r="A10" s="2" t="s">
        <v>76</v>
      </c>
      <c r="B10" s="2" t="s">
        <v>97</v>
      </c>
      <c r="C10" s="2" t="s">
        <v>151</v>
      </c>
      <c r="D10" s="2">
        <v>0.4</v>
      </c>
      <c r="E10" s="2">
        <v>22</v>
      </c>
      <c r="F10" s="2">
        <v>-0.5</v>
      </c>
      <c r="G10" s="2">
        <v>0.2</v>
      </c>
      <c r="H10" s="2">
        <v>0</v>
      </c>
      <c r="I10" s="2">
        <v>1</v>
      </c>
      <c r="J10" s="7">
        <v>900</v>
      </c>
      <c r="K10" s="2">
        <v>13</v>
      </c>
      <c r="L10" s="2">
        <v>11</v>
      </c>
      <c r="M10" s="2">
        <v>13</v>
      </c>
      <c r="N10" s="2">
        <v>10</v>
      </c>
      <c r="O10" s="2">
        <v>12</v>
      </c>
      <c r="P10" s="2">
        <v>13</v>
      </c>
      <c r="Q10" s="2">
        <v>13</v>
      </c>
      <c r="R10" s="2">
        <v>12</v>
      </c>
      <c r="S10" s="2">
        <v>14</v>
      </c>
      <c r="T10" s="2">
        <v>15</v>
      </c>
      <c r="U10" s="2">
        <v>17</v>
      </c>
      <c r="V10" s="2">
        <v>16</v>
      </c>
      <c r="W10" s="2">
        <v>19</v>
      </c>
      <c r="X10" s="2">
        <v>18</v>
      </c>
      <c r="Y10" s="2">
        <v>21</v>
      </c>
      <c r="Z10" s="2">
        <v>22</v>
      </c>
      <c r="AA10" s="2">
        <v>23</v>
      </c>
      <c r="AB10" s="2">
        <v>25</v>
      </c>
      <c r="AC10" s="2">
        <v>25</v>
      </c>
      <c r="AD10" s="2">
        <v>25</v>
      </c>
      <c r="AE10" s="2">
        <v>24</v>
      </c>
      <c r="AF10" s="2">
        <v>23</v>
      </c>
      <c r="AG10" s="2">
        <v>23</v>
      </c>
      <c r="AH10" s="2">
        <v>22</v>
      </c>
      <c r="AI10" s="2">
        <v>22</v>
      </c>
      <c r="AJ10" s="2">
        <v>22</v>
      </c>
      <c r="AK10" s="2">
        <v>22</v>
      </c>
      <c r="AL10" s="2">
        <v>19</v>
      </c>
      <c r="AM10" s="2">
        <v>20</v>
      </c>
      <c r="AN10" s="2">
        <v>18</v>
      </c>
      <c r="AO10" s="2">
        <v>20</v>
      </c>
      <c r="AP10" s="2">
        <v>20</v>
      </c>
      <c r="AQ10" s="2">
        <v>23</v>
      </c>
      <c r="AR10" s="2">
        <v>24</v>
      </c>
      <c r="AS10" s="2">
        <v>26</v>
      </c>
      <c r="AT10" s="2">
        <v>27</v>
      </c>
      <c r="AU10" s="2">
        <v>30</v>
      </c>
      <c r="AV10" s="2">
        <v>31</v>
      </c>
      <c r="AW10" s="2">
        <v>33</v>
      </c>
      <c r="AX10" s="2">
        <v>33</v>
      </c>
      <c r="AY10" s="2">
        <v>35</v>
      </c>
      <c r="AZ10" s="2">
        <v>34</v>
      </c>
      <c r="BA10" s="2">
        <v>36</v>
      </c>
      <c r="BB10" s="2">
        <v>36</v>
      </c>
      <c r="BC10" s="2">
        <v>34</v>
      </c>
      <c r="BD10" s="2">
        <v>34</v>
      </c>
      <c r="BE10" s="2">
        <v>32</v>
      </c>
      <c r="BF10" s="2">
        <v>32</v>
      </c>
    </row>
    <row r="11" spans="1:58" x14ac:dyDescent="0.25">
      <c r="A11" s="2" t="s">
        <v>76</v>
      </c>
      <c r="B11" s="2" t="s">
        <v>97</v>
      </c>
      <c r="C11" s="2" t="s">
        <v>152</v>
      </c>
      <c r="D11" s="2">
        <v>0.4</v>
      </c>
      <c r="E11" s="2">
        <v>15</v>
      </c>
      <c r="F11" s="2">
        <v>-0.5</v>
      </c>
      <c r="G11" s="2">
        <v>0.2</v>
      </c>
      <c r="H11" s="2">
        <v>0</v>
      </c>
      <c r="I11" s="2">
        <v>1</v>
      </c>
      <c r="J11" s="7">
        <v>1500</v>
      </c>
      <c r="K11" s="2">
        <v>7</v>
      </c>
      <c r="L11" s="2">
        <v>4</v>
      </c>
      <c r="M11" s="2">
        <v>6</v>
      </c>
      <c r="N11" s="2">
        <v>6</v>
      </c>
      <c r="O11" s="2">
        <v>5</v>
      </c>
      <c r="P11" s="2">
        <v>6</v>
      </c>
      <c r="Q11" s="2">
        <v>6</v>
      </c>
      <c r="R11" s="2">
        <v>8</v>
      </c>
      <c r="S11" s="2">
        <v>10</v>
      </c>
      <c r="T11" s="2">
        <v>10</v>
      </c>
      <c r="U11" s="2">
        <v>9</v>
      </c>
      <c r="V11" s="2">
        <v>9</v>
      </c>
      <c r="W11" s="2">
        <v>12</v>
      </c>
      <c r="X11" s="2">
        <v>14</v>
      </c>
      <c r="Y11" s="2">
        <v>15</v>
      </c>
      <c r="Z11" s="2">
        <v>15</v>
      </c>
      <c r="AA11" s="2">
        <v>14</v>
      </c>
      <c r="AB11" s="2">
        <v>16</v>
      </c>
      <c r="AC11" s="2">
        <v>15</v>
      </c>
      <c r="AD11" s="2">
        <v>15</v>
      </c>
      <c r="AE11" s="2">
        <v>16</v>
      </c>
      <c r="AF11" s="2">
        <v>15</v>
      </c>
      <c r="AG11" s="2">
        <v>15</v>
      </c>
      <c r="AH11" s="2">
        <v>15</v>
      </c>
      <c r="AI11" s="2">
        <v>15</v>
      </c>
      <c r="AJ11" s="2">
        <v>14</v>
      </c>
      <c r="AK11" s="2">
        <v>15</v>
      </c>
      <c r="AL11" s="2">
        <v>13</v>
      </c>
      <c r="AM11" s="2">
        <v>14</v>
      </c>
      <c r="AN11" s="2">
        <v>15</v>
      </c>
      <c r="AO11" s="2">
        <v>15</v>
      </c>
      <c r="AP11" s="2">
        <v>15</v>
      </c>
      <c r="AQ11" s="2">
        <v>16</v>
      </c>
      <c r="AR11" s="2">
        <v>16</v>
      </c>
      <c r="AS11" s="2">
        <v>17</v>
      </c>
      <c r="AT11" s="2">
        <v>19</v>
      </c>
      <c r="AU11" s="2">
        <v>20</v>
      </c>
      <c r="AV11" s="2">
        <v>24</v>
      </c>
      <c r="AW11" s="2">
        <v>26</v>
      </c>
      <c r="AX11" s="2">
        <v>26</v>
      </c>
      <c r="AY11" s="2">
        <v>27</v>
      </c>
      <c r="AZ11" s="2">
        <v>27</v>
      </c>
      <c r="BA11" s="2">
        <v>27</v>
      </c>
      <c r="BB11" s="2">
        <v>27</v>
      </c>
      <c r="BC11" s="2">
        <v>27</v>
      </c>
      <c r="BD11" s="2">
        <v>26</v>
      </c>
      <c r="BE11" s="2">
        <v>25</v>
      </c>
      <c r="BF11" s="2">
        <v>25</v>
      </c>
    </row>
    <row r="12" spans="1:58" x14ac:dyDescent="0.25">
      <c r="A12" s="2" t="s">
        <v>77</v>
      </c>
      <c r="B12" s="2" t="s">
        <v>98</v>
      </c>
      <c r="C12" s="2" t="s">
        <v>151</v>
      </c>
      <c r="D12" s="2">
        <v>0.4</v>
      </c>
      <c r="E12" s="2">
        <v>22</v>
      </c>
      <c r="F12" s="2">
        <v>1</v>
      </c>
      <c r="G12" s="2">
        <v>0.2</v>
      </c>
      <c r="H12" s="2">
        <v>0</v>
      </c>
      <c r="I12" s="2">
        <v>2</v>
      </c>
      <c r="J12" s="7">
        <v>1000</v>
      </c>
      <c r="K12" s="2">
        <v>14</v>
      </c>
      <c r="L12" s="2">
        <v>17</v>
      </c>
      <c r="M12" s="2">
        <v>14</v>
      </c>
      <c r="N12" s="2">
        <v>20</v>
      </c>
      <c r="O12" s="2">
        <v>16</v>
      </c>
      <c r="P12" s="2">
        <v>16</v>
      </c>
      <c r="Q12" s="2">
        <v>11</v>
      </c>
      <c r="R12" s="2">
        <v>13</v>
      </c>
      <c r="S12" s="2">
        <v>15</v>
      </c>
      <c r="T12" s="2">
        <v>11</v>
      </c>
      <c r="U12" s="2">
        <v>16</v>
      </c>
      <c r="V12" s="2">
        <v>16</v>
      </c>
      <c r="W12" s="2">
        <v>22</v>
      </c>
      <c r="X12" s="2">
        <v>20</v>
      </c>
      <c r="Y12" s="2">
        <v>27</v>
      </c>
      <c r="Z12" s="2">
        <v>23</v>
      </c>
      <c r="AA12" s="2">
        <v>26</v>
      </c>
      <c r="AB12" s="2">
        <v>19</v>
      </c>
      <c r="AC12" s="2">
        <v>18</v>
      </c>
      <c r="AD12" s="2">
        <v>17</v>
      </c>
      <c r="AE12" s="2">
        <v>20</v>
      </c>
      <c r="AF12" s="2">
        <v>16</v>
      </c>
      <c r="AG12" s="2">
        <v>18</v>
      </c>
      <c r="AH12" s="2">
        <v>21</v>
      </c>
      <c r="AI12" s="2">
        <v>29</v>
      </c>
      <c r="AJ12" s="2">
        <v>26</v>
      </c>
      <c r="AK12" s="2">
        <v>31</v>
      </c>
      <c r="AL12" s="2">
        <v>25</v>
      </c>
      <c r="AM12" s="2">
        <v>24</v>
      </c>
      <c r="AN12" s="2">
        <v>25</v>
      </c>
      <c r="AO12" s="2">
        <v>25</v>
      </c>
      <c r="AP12" s="2">
        <v>19</v>
      </c>
      <c r="AQ12" s="2">
        <v>20</v>
      </c>
      <c r="AR12" s="2">
        <v>21</v>
      </c>
      <c r="AS12" s="2">
        <v>24</v>
      </c>
      <c r="AT12" s="2">
        <v>25</v>
      </c>
      <c r="AU12" s="2">
        <v>30</v>
      </c>
      <c r="AV12" s="2">
        <v>34</v>
      </c>
      <c r="AW12" s="2">
        <v>32</v>
      </c>
      <c r="AX12" s="2">
        <v>34</v>
      </c>
      <c r="AY12" s="2">
        <v>29</v>
      </c>
      <c r="AZ12" s="2">
        <v>29</v>
      </c>
      <c r="BA12" s="2">
        <v>27</v>
      </c>
      <c r="BB12" s="2">
        <v>28</v>
      </c>
      <c r="BC12" s="2">
        <v>23</v>
      </c>
      <c r="BD12" s="2">
        <v>22</v>
      </c>
      <c r="BE12" s="2">
        <v>26</v>
      </c>
      <c r="BF12" s="2">
        <v>30</v>
      </c>
    </row>
    <row r="13" spans="1:58" x14ac:dyDescent="0.25">
      <c r="A13" s="2" t="s">
        <v>77</v>
      </c>
      <c r="B13" s="2" t="s">
        <v>98</v>
      </c>
      <c r="C13" s="2" t="s">
        <v>152</v>
      </c>
      <c r="D13" s="2">
        <v>0.4</v>
      </c>
      <c r="E13" s="2">
        <v>15</v>
      </c>
      <c r="F13" s="2">
        <v>1</v>
      </c>
      <c r="G13" s="2">
        <v>0.2</v>
      </c>
      <c r="H13" s="2">
        <v>0</v>
      </c>
      <c r="I13" s="2">
        <v>2</v>
      </c>
      <c r="J13" s="7">
        <v>1600</v>
      </c>
      <c r="K13" s="2">
        <v>10</v>
      </c>
      <c r="L13" s="2">
        <v>8</v>
      </c>
      <c r="M13" s="2">
        <v>7</v>
      </c>
      <c r="N13" s="2">
        <v>8</v>
      </c>
      <c r="O13" s="2">
        <v>10</v>
      </c>
      <c r="P13" s="2">
        <v>7</v>
      </c>
      <c r="Q13" s="2">
        <v>5</v>
      </c>
      <c r="R13" s="2">
        <v>6</v>
      </c>
      <c r="S13" s="2">
        <v>9</v>
      </c>
      <c r="T13" s="2">
        <v>8</v>
      </c>
      <c r="U13" s="2">
        <v>9</v>
      </c>
      <c r="V13" s="2">
        <v>10</v>
      </c>
      <c r="W13" s="2">
        <v>10</v>
      </c>
      <c r="X13" s="2">
        <v>14</v>
      </c>
      <c r="Y13" s="2">
        <v>13</v>
      </c>
      <c r="Z13" s="2">
        <v>15</v>
      </c>
      <c r="AA13" s="2">
        <v>17</v>
      </c>
      <c r="AB13" s="2">
        <v>10</v>
      </c>
      <c r="AC13" s="2">
        <v>10</v>
      </c>
      <c r="AD13" s="2">
        <v>11</v>
      </c>
      <c r="AE13" s="2">
        <v>7</v>
      </c>
      <c r="AF13" s="2">
        <v>12</v>
      </c>
      <c r="AG13" s="2">
        <v>15</v>
      </c>
      <c r="AH13" s="2">
        <v>16</v>
      </c>
      <c r="AI13" s="2">
        <v>19</v>
      </c>
      <c r="AJ13" s="2">
        <v>17</v>
      </c>
      <c r="AK13" s="2">
        <v>21</v>
      </c>
      <c r="AL13" s="2">
        <v>19</v>
      </c>
      <c r="AM13" s="2">
        <v>16</v>
      </c>
      <c r="AN13" s="2">
        <v>15</v>
      </c>
      <c r="AO13" s="2">
        <v>13</v>
      </c>
      <c r="AP13" s="2">
        <v>16</v>
      </c>
      <c r="AQ13" s="2">
        <v>17</v>
      </c>
      <c r="AR13" s="2">
        <v>19</v>
      </c>
      <c r="AS13" s="2">
        <v>20</v>
      </c>
      <c r="AT13" s="2">
        <v>16</v>
      </c>
      <c r="AU13" s="2">
        <v>22</v>
      </c>
      <c r="AV13" s="2">
        <v>21</v>
      </c>
      <c r="AW13" s="2">
        <v>23</v>
      </c>
      <c r="AX13" s="2">
        <v>25</v>
      </c>
      <c r="AY13" s="2">
        <v>23</v>
      </c>
      <c r="AZ13" s="2">
        <v>23</v>
      </c>
      <c r="BA13" s="2">
        <v>21</v>
      </c>
      <c r="BB13" s="2">
        <v>17</v>
      </c>
      <c r="BC13" s="2">
        <v>17</v>
      </c>
      <c r="BD13" s="2">
        <v>23</v>
      </c>
      <c r="BE13" s="2">
        <v>21</v>
      </c>
      <c r="BF13" s="2">
        <v>27</v>
      </c>
    </row>
    <row r="14" spans="1:58" x14ac:dyDescent="0.25">
      <c r="A14" s="2" t="s">
        <v>78</v>
      </c>
      <c r="B14" s="2" t="s">
        <v>99</v>
      </c>
      <c r="C14" s="2" t="s">
        <v>151</v>
      </c>
      <c r="D14" s="2">
        <v>-0.5</v>
      </c>
      <c r="E14" s="2">
        <v>22</v>
      </c>
      <c r="F14" s="2">
        <v>-1</v>
      </c>
      <c r="G14" s="2">
        <v>0.2</v>
      </c>
      <c r="H14" s="2">
        <v>0</v>
      </c>
      <c r="I14" s="2">
        <v>2</v>
      </c>
      <c r="J14" s="7">
        <v>600</v>
      </c>
      <c r="K14" s="2">
        <v>33</v>
      </c>
      <c r="L14" s="2">
        <v>28</v>
      </c>
      <c r="M14" s="2">
        <v>24</v>
      </c>
      <c r="N14" s="2">
        <v>24</v>
      </c>
      <c r="O14" s="2">
        <v>29</v>
      </c>
      <c r="P14" s="2">
        <v>34</v>
      </c>
      <c r="Q14" s="2">
        <v>34</v>
      </c>
      <c r="R14" s="2">
        <v>38</v>
      </c>
      <c r="S14" s="2">
        <v>36</v>
      </c>
      <c r="T14" s="2">
        <v>30</v>
      </c>
      <c r="U14" s="2">
        <v>32</v>
      </c>
      <c r="V14" s="2">
        <v>26</v>
      </c>
      <c r="W14" s="2">
        <v>25</v>
      </c>
      <c r="X14" s="2">
        <v>18</v>
      </c>
      <c r="Y14" s="2">
        <v>21</v>
      </c>
      <c r="Z14" s="2">
        <v>20</v>
      </c>
      <c r="AA14" s="2">
        <v>21</v>
      </c>
      <c r="AB14" s="2">
        <v>21</v>
      </c>
      <c r="AC14" s="2">
        <v>29</v>
      </c>
      <c r="AD14" s="2">
        <v>28</v>
      </c>
      <c r="AE14" s="2">
        <v>25</v>
      </c>
      <c r="AF14" s="2">
        <v>26</v>
      </c>
      <c r="AG14" s="2">
        <v>26</v>
      </c>
      <c r="AH14" s="2">
        <v>21</v>
      </c>
      <c r="AI14" s="2">
        <v>16</v>
      </c>
      <c r="AJ14" s="2">
        <v>18</v>
      </c>
      <c r="AK14" s="2">
        <v>16</v>
      </c>
      <c r="AL14" s="2">
        <v>17</v>
      </c>
      <c r="AM14" s="2">
        <v>15</v>
      </c>
      <c r="AN14" s="2">
        <v>21</v>
      </c>
      <c r="AO14" s="2">
        <v>20</v>
      </c>
      <c r="AP14" s="2">
        <v>21</v>
      </c>
      <c r="AQ14" s="2">
        <v>24</v>
      </c>
      <c r="AR14" s="2">
        <v>19</v>
      </c>
      <c r="AS14" s="2">
        <v>20</v>
      </c>
      <c r="AT14" s="2">
        <v>15</v>
      </c>
      <c r="AU14" s="2">
        <v>12</v>
      </c>
      <c r="AV14" s="2">
        <v>14</v>
      </c>
      <c r="AW14" s="2">
        <v>15</v>
      </c>
      <c r="AX14" s="2">
        <v>9</v>
      </c>
      <c r="AY14" s="2">
        <v>13</v>
      </c>
      <c r="AZ14" s="2">
        <v>14</v>
      </c>
      <c r="BA14" s="2">
        <v>12</v>
      </c>
      <c r="BB14" s="2">
        <v>10</v>
      </c>
      <c r="BC14" s="2">
        <v>17</v>
      </c>
      <c r="BD14" s="2">
        <v>12</v>
      </c>
      <c r="BE14" s="2">
        <v>11</v>
      </c>
      <c r="BF14" s="2">
        <v>14</v>
      </c>
    </row>
    <row r="15" spans="1:58" x14ac:dyDescent="0.25">
      <c r="A15" s="2" t="s">
        <v>78</v>
      </c>
      <c r="B15" s="2" t="s">
        <v>99</v>
      </c>
      <c r="C15" s="2" t="s">
        <v>152</v>
      </c>
      <c r="D15" s="2">
        <v>-0.1</v>
      </c>
      <c r="E15" s="2">
        <v>15</v>
      </c>
      <c r="F15" s="2">
        <v>-1</v>
      </c>
      <c r="G15" s="2">
        <v>0.2</v>
      </c>
      <c r="H15" s="2">
        <v>0</v>
      </c>
      <c r="I15" s="2">
        <v>2</v>
      </c>
      <c r="J15" s="7">
        <v>1200</v>
      </c>
      <c r="K15" s="2">
        <v>13</v>
      </c>
      <c r="L15" s="2">
        <v>10</v>
      </c>
      <c r="M15" s="2">
        <v>14</v>
      </c>
      <c r="N15" s="2">
        <v>18</v>
      </c>
      <c r="O15" s="2">
        <v>14</v>
      </c>
      <c r="P15" s="2">
        <v>17</v>
      </c>
      <c r="Q15" s="2">
        <v>20</v>
      </c>
      <c r="R15" s="2">
        <v>20</v>
      </c>
      <c r="S15" s="2">
        <v>19</v>
      </c>
      <c r="T15" s="2">
        <v>19</v>
      </c>
      <c r="U15" s="2">
        <v>17</v>
      </c>
      <c r="V15" s="2">
        <v>15</v>
      </c>
      <c r="W15" s="2">
        <v>13</v>
      </c>
      <c r="X15" s="2">
        <v>14</v>
      </c>
      <c r="Y15" s="2">
        <v>14</v>
      </c>
      <c r="Z15" s="2">
        <v>11</v>
      </c>
      <c r="AA15" s="2">
        <v>15</v>
      </c>
      <c r="AB15" s="2">
        <v>12</v>
      </c>
      <c r="AC15" s="2">
        <v>15</v>
      </c>
      <c r="AD15" s="2">
        <v>15</v>
      </c>
      <c r="AE15" s="2">
        <v>22</v>
      </c>
      <c r="AF15" s="2">
        <v>19</v>
      </c>
      <c r="AG15" s="2">
        <v>16</v>
      </c>
      <c r="AH15" s="2">
        <v>18</v>
      </c>
      <c r="AI15" s="2">
        <v>14</v>
      </c>
      <c r="AJ15" s="2">
        <v>14</v>
      </c>
      <c r="AK15" s="2">
        <v>13</v>
      </c>
      <c r="AL15" s="2">
        <v>14</v>
      </c>
      <c r="AM15" s="2">
        <v>12</v>
      </c>
      <c r="AN15" s="2">
        <v>15</v>
      </c>
      <c r="AO15" s="2">
        <v>18</v>
      </c>
      <c r="AP15" s="2">
        <v>17</v>
      </c>
      <c r="AQ15" s="2">
        <v>16</v>
      </c>
      <c r="AR15" s="2">
        <v>18</v>
      </c>
      <c r="AS15" s="2">
        <v>13</v>
      </c>
      <c r="AT15" s="2">
        <v>12</v>
      </c>
      <c r="AU15" s="2">
        <v>12</v>
      </c>
      <c r="AV15" s="2">
        <v>10</v>
      </c>
      <c r="AW15" s="2">
        <v>10</v>
      </c>
      <c r="AX15" s="2">
        <v>9</v>
      </c>
      <c r="AY15" s="2">
        <v>13</v>
      </c>
      <c r="AZ15" s="2">
        <v>13</v>
      </c>
      <c r="BA15" s="2">
        <v>14</v>
      </c>
      <c r="BB15" s="2">
        <v>17</v>
      </c>
      <c r="BC15" s="2">
        <v>19</v>
      </c>
      <c r="BD15" s="2">
        <v>16</v>
      </c>
      <c r="BE15" s="2">
        <v>14</v>
      </c>
      <c r="BF15" s="2">
        <v>11</v>
      </c>
    </row>
    <row r="16" spans="1:58" x14ac:dyDescent="0.25">
      <c r="A16" s="2" t="s">
        <v>79</v>
      </c>
      <c r="B16" s="2" t="s">
        <v>100</v>
      </c>
      <c r="C16" s="2" t="s">
        <v>151</v>
      </c>
      <c r="D16" s="2">
        <v>-0.2</v>
      </c>
      <c r="E16" s="2">
        <v>22</v>
      </c>
      <c r="F16" s="2">
        <v>1</v>
      </c>
      <c r="G16" s="2">
        <v>0.2</v>
      </c>
      <c r="H16" s="2">
        <v>3</v>
      </c>
      <c r="I16" s="2">
        <v>2</v>
      </c>
      <c r="J16" s="7">
        <v>1100</v>
      </c>
      <c r="K16" s="2">
        <v>19</v>
      </c>
      <c r="L16" s="2">
        <v>25</v>
      </c>
      <c r="M16" s="2">
        <v>25</v>
      </c>
      <c r="N16" s="2">
        <v>29</v>
      </c>
      <c r="O16" s="2">
        <v>31</v>
      </c>
      <c r="P16" s="2">
        <v>32</v>
      </c>
      <c r="Q16" s="2">
        <v>32</v>
      </c>
      <c r="R16" s="2">
        <v>28</v>
      </c>
      <c r="S16" s="2">
        <v>23</v>
      </c>
      <c r="T16" s="2">
        <v>21</v>
      </c>
      <c r="U16" s="2">
        <v>17</v>
      </c>
      <c r="V16" s="2">
        <v>22</v>
      </c>
      <c r="W16" s="2">
        <v>21</v>
      </c>
      <c r="X16" s="2">
        <v>23</v>
      </c>
      <c r="Y16" s="2">
        <v>26</v>
      </c>
      <c r="Z16" s="2">
        <v>25</v>
      </c>
      <c r="AA16" s="2">
        <v>24</v>
      </c>
      <c r="AB16" s="2">
        <v>27</v>
      </c>
      <c r="AC16" s="2">
        <v>29</v>
      </c>
      <c r="AD16" s="2">
        <v>27</v>
      </c>
      <c r="AE16" s="2">
        <v>22</v>
      </c>
      <c r="AF16" s="2">
        <v>25</v>
      </c>
      <c r="AG16" s="2">
        <v>18</v>
      </c>
      <c r="AH16" s="2">
        <v>20</v>
      </c>
      <c r="AI16" s="2">
        <v>19</v>
      </c>
      <c r="AJ16" s="2">
        <v>19</v>
      </c>
      <c r="AK16" s="2">
        <v>21</v>
      </c>
      <c r="AL16" s="2">
        <v>24</v>
      </c>
      <c r="AM16" s="2">
        <v>24</v>
      </c>
      <c r="AN16" s="2">
        <v>25</v>
      </c>
      <c r="AO16" s="2">
        <v>26</v>
      </c>
      <c r="AP16" s="2">
        <v>22</v>
      </c>
      <c r="AQ16" s="2">
        <v>20</v>
      </c>
      <c r="AR16" s="2">
        <v>19</v>
      </c>
      <c r="AS16" s="2">
        <v>19</v>
      </c>
      <c r="AT16" s="2">
        <v>16</v>
      </c>
      <c r="AU16" s="2">
        <v>18</v>
      </c>
      <c r="AV16" s="2">
        <v>19</v>
      </c>
      <c r="AW16" s="2">
        <v>16</v>
      </c>
      <c r="AX16" s="2">
        <v>20</v>
      </c>
      <c r="AY16" s="2">
        <v>22</v>
      </c>
      <c r="AZ16" s="2">
        <v>21</v>
      </c>
      <c r="BA16" s="2">
        <v>25</v>
      </c>
      <c r="BB16" s="2">
        <v>22</v>
      </c>
      <c r="BC16" s="2">
        <v>20</v>
      </c>
      <c r="BD16" s="2">
        <v>15</v>
      </c>
      <c r="BE16" s="2">
        <v>17</v>
      </c>
      <c r="BF16" s="2">
        <v>19</v>
      </c>
    </row>
    <row r="17" spans="1:58" x14ac:dyDescent="0.25">
      <c r="A17" s="2" t="s">
        <v>79</v>
      </c>
      <c r="B17" s="2" t="s">
        <v>100</v>
      </c>
      <c r="C17" s="2" t="s">
        <v>152</v>
      </c>
      <c r="D17" s="2">
        <v>-0.2</v>
      </c>
      <c r="E17" s="2">
        <v>15</v>
      </c>
      <c r="F17" s="2">
        <v>1</v>
      </c>
      <c r="G17" s="2">
        <v>0.2</v>
      </c>
      <c r="H17" s="2">
        <v>0</v>
      </c>
      <c r="I17" s="2">
        <v>2</v>
      </c>
      <c r="J17" s="7">
        <v>1300</v>
      </c>
      <c r="K17" s="2">
        <v>21</v>
      </c>
      <c r="L17" s="2">
        <v>20</v>
      </c>
      <c r="M17" s="2">
        <v>24</v>
      </c>
      <c r="N17" s="2">
        <v>23</v>
      </c>
      <c r="O17" s="2">
        <v>21</v>
      </c>
      <c r="P17" s="2">
        <v>18</v>
      </c>
      <c r="Q17" s="2">
        <v>17</v>
      </c>
      <c r="R17" s="2">
        <v>16</v>
      </c>
      <c r="S17" s="2">
        <v>15</v>
      </c>
      <c r="T17" s="2">
        <v>12</v>
      </c>
      <c r="U17" s="2">
        <v>14</v>
      </c>
      <c r="V17" s="2">
        <v>17</v>
      </c>
      <c r="W17" s="2">
        <v>19</v>
      </c>
      <c r="X17" s="2">
        <v>20</v>
      </c>
      <c r="Y17" s="2">
        <v>22</v>
      </c>
      <c r="Z17" s="2">
        <v>19</v>
      </c>
      <c r="AA17" s="2">
        <v>19</v>
      </c>
      <c r="AB17" s="2">
        <v>19</v>
      </c>
      <c r="AC17" s="2">
        <v>19</v>
      </c>
      <c r="AD17" s="2">
        <v>14</v>
      </c>
      <c r="AE17" s="2">
        <v>13</v>
      </c>
      <c r="AF17" s="2">
        <v>10</v>
      </c>
      <c r="AG17" s="2">
        <v>14</v>
      </c>
      <c r="AH17" s="2">
        <v>13</v>
      </c>
      <c r="AI17" s="2">
        <v>20</v>
      </c>
      <c r="AJ17" s="2">
        <v>18</v>
      </c>
      <c r="AK17" s="2">
        <v>19</v>
      </c>
      <c r="AL17" s="2">
        <v>18</v>
      </c>
      <c r="AM17" s="2">
        <v>19</v>
      </c>
      <c r="AN17" s="2">
        <v>14</v>
      </c>
      <c r="AO17" s="2">
        <v>11</v>
      </c>
      <c r="AP17" s="2">
        <v>12</v>
      </c>
      <c r="AQ17" s="2">
        <v>7</v>
      </c>
      <c r="AR17" s="2">
        <v>11</v>
      </c>
      <c r="AS17" s="2">
        <v>11</v>
      </c>
      <c r="AT17" s="2">
        <v>16</v>
      </c>
      <c r="AU17" s="2">
        <v>15</v>
      </c>
      <c r="AV17" s="2">
        <v>15</v>
      </c>
      <c r="AW17" s="2">
        <v>13</v>
      </c>
      <c r="AX17" s="2">
        <v>16</v>
      </c>
      <c r="AY17" s="2">
        <v>13</v>
      </c>
      <c r="AZ17" s="2">
        <v>13</v>
      </c>
      <c r="BA17" s="2">
        <v>13</v>
      </c>
      <c r="BB17" s="2">
        <v>9</v>
      </c>
      <c r="BC17" s="2">
        <v>9</v>
      </c>
      <c r="BD17" s="2">
        <v>11</v>
      </c>
      <c r="BE17" s="2">
        <v>9</v>
      </c>
      <c r="BF17" s="2">
        <v>10</v>
      </c>
    </row>
    <row r="18" spans="1:58" ht="11.25" customHeight="1" x14ac:dyDescent="0.25">
      <c r="A18" s="2" t="s">
        <v>80</v>
      </c>
      <c r="B18" s="2" t="s">
        <v>101</v>
      </c>
      <c r="C18" s="2" t="s">
        <v>151</v>
      </c>
      <c r="D18" s="2">
        <v>0.8</v>
      </c>
      <c r="E18" s="2">
        <v>15</v>
      </c>
      <c r="F18" s="2">
        <v>0.5</v>
      </c>
      <c r="G18" s="2">
        <v>0</v>
      </c>
      <c r="H18" s="2">
        <v>0</v>
      </c>
      <c r="I18" s="2">
        <v>1</v>
      </c>
      <c r="J18" s="7">
        <v>700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1</v>
      </c>
      <c r="Q18" s="2">
        <v>2</v>
      </c>
      <c r="R18" s="2">
        <v>1</v>
      </c>
      <c r="S18" s="2">
        <v>2</v>
      </c>
      <c r="T18" s="2">
        <v>2</v>
      </c>
      <c r="U18" s="2">
        <v>5</v>
      </c>
      <c r="V18" s="2">
        <v>7</v>
      </c>
      <c r="W18" s="2">
        <v>4</v>
      </c>
      <c r="X18" s="2">
        <v>6</v>
      </c>
      <c r="Y18" s="2">
        <v>9</v>
      </c>
      <c r="Z18" s="2">
        <v>10</v>
      </c>
      <c r="AA18" s="2">
        <v>9</v>
      </c>
      <c r="AB18" s="2">
        <v>12</v>
      </c>
      <c r="AC18" s="2">
        <v>10</v>
      </c>
      <c r="AD18" s="2">
        <v>11</v>
      </c>
      <c r="AE18" s="2">
        <v>14</v>
      </c>
      <c r="AF18" s="2">
        <v>12</v>
      </c>
      <c r="AG18" s="2">
        <v>13</v>
      </c>
      <c r="AH18" s="2">
        <v>14</v>
      </c>
      <c r="AI18" s="2">
        <v>17</v>
      </c>
      <c r="AJ18" s="2">
        <v>16</v>
      </c>
      <c r="AK18" s="2">
        <v>20</v>
      </c>
      <c r="AL18" s="2">
        <v>19</v>
      </c>
      <c r="AM18" s="2">
        <v>17</v>
      </c>
      <c r="AN18" s="2">
        <v>20</v>
      </c>
      <c r="AO18" s="2">
        <v>20</v>
      </c>
      <c r="AP18" s="2">
        <v>21</v>
      </c>
      <c r="AQ18" s="2">
        <v>22</v>
      </c>
      <c r="AR18" s="2">
        <v>25</v>
      </c>
      <c r="AS18" s="2">
        <v>23</v>
      </c>
      <c r="AT18" s="2">
        <v>25</v>
      </c>
      <c r="AU18" s="2">
        <v>25</v>
      </c>
      <c r="AV18" s="2">
        <v>27</v>
      </c>
      <c r="AW18" s="2">
        <v>27</v>
      </c>
      <c r="AX18" s="2">
        <v>29</v>
      </c>
      <c r="AY18" s="2">
        <v>30</v>
      </c>
      <c r="AZ18" s="2">
        <v>28</v>
      </c>
      <c r="BA18" s="2">
        <v>31</v>
      </c>
      <c r="BB18" s="2">
        <v>33</v>
      </c>
      <c r="BC18" s="2">
        <v>32</v>
      </c>
      <c r="BD18" s="2">
        <v>33</v>
      </c>
      <c r="BE18" s="2">
        <v>32</v>
      </c>
      <c r="BF18" s="2">
        <v>35</v>
      </c>
    </row>
    <row r="19" spans="1:58" x14ac:dyDescent="0.25">
      <c r="A19" s="2" t="s">
        <v>80</v>
      </c>
      <c r="B19" s="2" t="s">
        <v>101</v>
      </c>
      <c r="C19" s="2" t="s">
        <v>152</v>
      </c>
      <c r="D19" s="2">
        <v>0.8</v>
      </c>
      <c r="E19" s="2">
        <v>15</v>
      </c>
      <c r="F19" s="2">
        <v>0.5</v>
      </c>
      <c r="G19" s="2">
        <v>0</v>
      </c>
      <c r="H19" s="2">
        <v>0</v>
      </c>
      <c r="I19" s="2">
        <v>1</v>
      </c>
      <c r="J19" s="7">
        <v>1300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1</v>
      </c>
      <c r="Q19" s="2">
        <v>1</v>
      </c>
      <c r="R19" s="2">
        <v>2</v>
      </c>
      <c r="S19" s="2">
        <v>3</v>
      </c>
      <c r="T19" s="2">
        <v>3</v>
      </c>
      <c r="U19" s="2">
        <v>4</v>
      </c>
      <c r="V19" s="2">
        <v>6</v>
      </c>
      <c r="W19" s="2">
        <v>6</v>
      </c>
      <c r="X19" s="2">
        <v>5</v>
      </c>
      <c r="Y19" s="2">
        <v>6</v>
      </c>
      <c r="Z19" s="2">
        <v>9</v>
      </c>
      <c r="AA19" s="2">
        <v>11</v>
      </c>
      <c r="AB19" s="2">
        <v>9</v>
      </c>
      <c r="AC19" s="2">
        <v>11</v>
      </c>
      <c r="AD19" s="2">
        <v>13</v>
      </c>
      <c r="AE19" s="2">
        <v>13</v>
      </c>
      <c r="AF19" s="2">
        <v>14</v>
      </c>
      <c r="AG19" s="2">
        <v>14</v>
      </c>
      <c r="AH19" s="2">
        <v>15</v>
      </c>
      <c r="AI19" s="2">
        <v>17</v>
      </c>
      <c r="AJ19" s="2">
        <v>15</v>
      </c>
      <c r="AK19" s="2">
        <v>17</v>
      </c>
      <c r="AL19" s="2">
        <v>16</v>
      </c>
      <c r="AM19" s="2">
        <v>18</v>
      </c>
      <c r="AN19" s="2">
        <v>19</v>
      </c>
      <c r="AO19" s="2">
        <v>21</v>
      </c>
      <c r="AP19" s="2">
        <v>23</v>
      </c>
      <c r="AQ19" s="2">
        <v>22</v>
      </c>
      <c r="AR19" s="2">
        <v>25</v>
      </c>
      <c r="AS19" s="2">
        <v>25</v>
      </c>
      <c r="AT19" s="2">
        <v>24</v>
      </c>
      <c r="AU19" s="2">
        <v>24</v>
      </c>
      <c r="AV19" s="2">
        <v>25</v>
      </c>
      <c r="AW19" s="2">
        <v>27</v>
      </c>
      <c r="AX19" s="2">
        <v>27</v>
      </c>
      <c r="AY19" s="2">
        <v>28</v>
      </c>
      <c r="AZ19" s="2">
        <v>29</v>
      </c>
      <c r="BA19" s="2">
        <v>30</v>
      </c>
      <c r="BB19" s="2">
        <v>32</v>
      </c>
      <c r="BC19" s="2">
        <v>31</v>
      </c>
      <c r="BD19" s="2">
        <v>32</v>
      </c>
      <c r="BE19" s="2">
        <v>31</v>
      </c>
      <c r="BF19" s="2">
        <v>34</v>
      </c>
    </row>
    <row r="20" spans="1:58" x14ac:dyDescent="0.25">
      <c r="A20" s="2" t="s">
        <v>81</v>
      </c>
      <c r="B20" s="2" t="s">
        <v>102</v>
      </c>
      <c r="C20" s="2" t="s">
        <v>151</v>
      </c>
      <c r="D20" s="2">
        <v>-0.7</v>
      </c>
      <c r="E20" s="2">
        <v>22</v>
      </c>
      <c r="F20" s="2">
        <v>-1</v>
      </c>
      <c r="G20" s="2">
        <v>0.2</v>
      </c>
      <c r="H20" s="2">
        <v>0</v>
      </c>
      <c r="I20" s="2">
        <v>1</v>
      </c>
      <c r="J20" s="7">
        <v>800</v>
      </c>
      <c r="K20" s="2">
        <v>33</v>
      </c>
      <c r="L20" s="2">
        <v>31</v>
      </c>
      <c r="M20" s="2">
        <v>28</v>
      </c>
      <c r="N20" s="2">
        <v>29</v>
      </c>
      <c r="O20" s="2">
        <v>31</v>
      </c>
      <c r="P20" s="2">
        <v>35</v>
      </c>
      <c r="Q20" s="2">
        <v>37</v>
      </c>
      <c r="R20" s="2">
        <v>39</v>
      </c>
      <c r="S20" s="2">
        <v>40</v>
      </c>
      <c r="T20" s="2">
        <v>36</v>
      </c>
      <c r="U20" s="2">
        <v>34</v>
      </c>
      <c r="V20" s="2">
        <v>30</v>
      </c>
      <c r="W20" s="2">
        <v>27</v>
      </c>
      <c r="X20" s="2">
        <v>25</v>
      </c>
      <c r="Y20" s="2">
        <v>24</v>
      </c>
      <c r="Z20" s="2">
        <v>24</v>
      </c>
      <c r="AA20" s="2">
        <v>25</v>
      </c>
      <c r="AB20" s="2">
        <v>27</v>
      </c>
      <c r="AC20" s="2">
        <v>28</v>
      </c>
      <c r="AD20" s="2">
        <v>29</v>
      </c>
      <c r="AE20" s="2">
        <v>29</v>
      </c>
      <c r="AF20" s="2">
        <v>25</v>
      </c>
      <c r="AG20" s="2">
        <v>24</v>
      </c>
      <c r="AH20" s="2">
        <v>22</v>
      </c>
      <c r="AI20" s="2">
        <v>19</v>
      </c>
      <c r="AJ20" s="2">
        <v>17</v>
      </c>
      <c r="AK20" s="2">
        <v>15</v>
      </c>
      <c r="AL20" s="2">
        <v>18</v>
      </c>
      <c r="AM20" s="2">
        <v>18</v>
      </c>
      <c r="AN20" s="2">
        <v>18</v>
      </c>
      <c r="AO20" s="2">
        <v>20</v>
      </c>
      <c r="AP20" s="2">
        <v>19</v>
      </c>
      <c r="AQ20" s="2">
        <v>20</v>
      </c>
      <c r="AR20" s="2">
        <v>19</v>
      </c>
      <c r="AS20" s="2">
        <v>15</v>
      </c>
      <c r="AT20" s="2">
        <v>14</v>
      </c>
      <c r="AU20" s="2">
        <v>11</v>
      </c>
      <c r="AV20" s="2">
        <v>11</v>
      </c>
      <c r="AW20" s="2">
        <v>9</v>
      </c>
      <c r="AX20" s="2">
        <v>8</v>
      </c>
      <c r="AY20" s="2">
        <v>8</v>
      </c>
      <c r="AZ20" s="2">
        <v>11</v>
      </c>
      <c r="BA20" s="2">
        <v>9</v>
      </c>
      <c r="BB20" s="2">
        <v>8</v>
      </c>
      <c r="BC20" s="2">
        <v>8</v>
      </c>
      <c r="BD20" s="2">
        <v>7</v>
      </c>
      <c r="BE20" s="2">
        <v>5</v>
      </c>
      <c r="BF20" s="2">
        <v>6</v>
      </c>
    </row>
    <row r="21" spans="1:58" x14ac:dyDescent="0.25">
      <c r="A21" s="2" t="s">
        <v>81</v>
      </c>
      <c r="B21" s="2" t="s">
        <v>102</v>
      </c>
      <c r="C21" s="2" t="s">
        <v>152</v>
      </c>
      <c r="D21" s="2">
        <v>-0.5</v>
      </c>
      <c r="E21" s="2">
        <v>15</v>
      </c>
      <c r="F21" s="2">
        <v>-1</v>
      </c>
      <c r="G21" s="2">
        <v>0.2</v>
      </c>
      <c r="H21" s="2">
        <v>3</v>
      </c>
      <c r="I21" s="2">
        <v>1</v>
      </c>
      <c r="J21" s="7">
        <v>1400</v>
      </c>
      <c r="K21" s="2">
        <v>30</v>
      </c>
      <c r="L21" s="2">
        <v>27</v>
      </c>
      <c r="M21" s="2">
        <v>25</v>
      </c>
      <c r="N21" s="2">
        <v>22</v>
      </c>
      <c r="O21" s="2">
        <v>19</v>
      </c>
      <c r="P21" s="2">
        <v>16</v>
      </c>
      <c r="Q21" s="2">
        <v>19</v>
      </c>
      <c r="R21" s="2">
        <v>21</v>
      </c>
      <c r="S21" s="2">
        <v>22</v>
      </c>
      <c r="T21" s="2">
        <v>25</v>
      </c>
      <c r="U21" s="2">
        <v>25</v>
      </c>
      <c r="V21" s="2">
        <v>25</v>
      </c>
      <c r="W21" s="2">
        <v>23</v>
      </c>
      <c r="X21" s="2">
        <v>22</v>
      </c>
      <c r="Y21" s="2">
        <v>19</v>
      </c>
      <c r="Z21" s="2">
        <v>16</v>
      </c>
      <c r="AA21" s="2">
        <v>14</v>
      </c>
      <c r="AB21" s="2">
        <v>14</v>
      </c>
      <c r="AC21" s="2">
        <v>14</v>
      </c>
      <c r="AD21" s="2">
        <v>15</v>
      </c>
      <c r="AE21" s="2">
        <v>18</v>
      </c>
      <c r="AF21" s="2">
        <v>17</v>
      </c>
      <c r="AG21" s="2">
        <v>18</v>
      </c>
      <c r="AH21" s="2">
        <v>18</v>
      </c>
      <c r="AI21" s="2">
        <v>17</v>
      </c>
      <c r="AJ21" s="2">
        <v>15</v>
      </c>
      <c r="AK21" s="2">
        <v>14</v>
      </c>
      <c r="AL21" s="2">
        <v>11</v>
      </c>
      <c r="AM21" s="2">
        <v>11</v>
      </c>
      <c r="AN21" s="2">
        <v>10</v>
      </c>
      <c r="AO21" s="2">
        <v>10</v>
      </c>
      <c r="AP21" s="2">
        <v>10</v>
      </c>
      <c r="AQ21" s="2">
        <v>12</v>
      </c>
      <c r="AR21" s="2">
        <v>11</v>
      </c>
      <c r="AS21" s="2">
        <v>13</v>
      </c>
      <c r="AT21" s="2">
        <v>11</v>
      </c>
      <c r="AU21" s="2">
        <v>12</v>
      </c>
      <c r="AV21" s="2">
        <v>10</v>
      </c>
      <c r="AW21" s="2">
        <v>8</v>
      </c>
      <c r="AX21" s="2">
        <v>6</v>
      </c>
      <c r="AY21" s="2">
        <v>5</v>
      </c>
      <c r="AZ21" s="2">
        <v>4</v>
      </c>
      <c r="BA21" s="2">
        <v>6</v>
      </c>
      <c r="BB21" s="2">
        <v>5</v>
      </c>
      <c r="BC21" s="2">
        <v>7</v>
      </c>
      <c r="BD21" s="2">
        <v>4</v>
      </c>
      <c r="BE21" s="2">
        <v>5</v>
      </c>
      <c r="BF21" s="2">
        <v>4</v>
      </c>
    </row>
    <row r="22" spans="1:58" x14ac:dyDescent="0.25">
      <c r="A22" s="2" t="s">
        <v>82</v>
      </c>
      <c r="B22" s="2" t="s">
        <v>103</v>
      </c>
      <c r="C22" s="2" t="s">
        <v>151</v>
      </c>
      <c r="D22" s="2">
        <v>0</v>
      </c>
      <c r="E22" s="2">
        <v>22</v>
      </c>
      <c r="F22" s="2">
        <v>1</v>
      </c>
      <c r="G22" s="2">
        <v>0.1</v>
      </c>
      <c r="H22" s="2">
        <v>0</v>
      </c>
      <c r="I22" s="2">
        <v>1</v>
      </c>
      <c r="J22" s="7">
        <v>1000</v>
      </c>
      <c r="K22" s="2">
        <v>24</v>
      </c>
      <c r="L22" s="2">
        <v>25</v>
      </c>
      <c r="M22" s="2">
        <v>24</v>
      </c>
      <c r="N22" s="2">
        <v>24</v>
      </c>
      <c r="O22" s="2">
        <v>24</v>
      </c>
      <c r="P22" s="2">
        <v>23</v>
      </c>
      <c r="Q22" s="2">
        <v>20</v>
      </c>
      <c r="R22" s="2">
        <v>19</v>
      </c>
      <c r="S22" s="2">
        <v>19</v>
      </c>
      <c r="T22" s="2">
        <v>22</v>
      </c>
      <c r="U22" s="2">
        <v>20</v>
      </c>
      <c r="V22" s="2">
        <v>22</v>
      </c>
      <c r="W22" s="2">
        <v>22</v>
      </c>
      <c r="X22" s="2">
        <v>23</v>
      </c>
      <c r="Y22" s="2">
        <v>24</v>
      </c>
      <c r="Z22" s="2">
        <v>24</v>
      </c>
      <c r="AA22" s="2">
        <v>23</v>
      </c>
      <c r="AB22" s="2">
        <v>22</v>
      </c>
      <c r="AC22" s="2">
        <v>21</v>
      </c>
      <c r="AD22" s="2">
        <v>22</v>
      </c>
      <c r="AE22" s="2">
        <v>18</v>
      </c>
      <c r="AF22" s="2">
        <v>19</v>
      </c>
      <c r="AG22" s="2">
        <v>21</v>
      </c>
      <c r="AH22" s="2">
        <v>22</v>
      </c>
      <c r="AI22" s="2">
        <v>25</v>
      </c>
      <c r="AJ22" s="2">
        <v>24</v>
      </c>
      <c r="AK22" s="2">
        <v>25</v>
      </c>
      <c r="AL22" s="2">
        <v>25</v>
      </c>
      <c r="AM22" s="2">
        <v>24</v>
      </c>
      <c r="AN22" s="2">
        <v>21</v>
      </c>
      <c r="AO22" s="2">
        <v>18</v>
      </c>
      <c r="AP22" s="2">
        <v>19</v>
      </c>
      <c r="AQ22" s="2">
        <v>20</v>
      </c>
      <c r="AR22" s="2">
        <v>21</v>
      </c>
      <c r="AS22" s="2">
        <v>22</v>
      </c>
      <c r="AT22" s="2">
        <v>22</v>
      </c>
      <c r="AU22" s="2">
        <v>24</v>
      </c>
      <c r="AV22" s="2">
        <v>23</v>
      </c>
      <c r="AW22" s="2">
        <v>24</v>
      </c>
      <c r="AX22" s="2">
        <v>24</v>
      </c>
      <c r="AY22" s="2">
        <v>23</v>
      </c>
      <c r="AZ22" s="2">
        <v>22</v>
      </c>
      <c r="BA22" s="2">
        <v>22</v>
      </c>
      <c r="BB22" s="2">
        <v>20</v>
      </c>
      <c r="BC22" s="2">
        <v>20</v>
      </c>
      <c r="BD22" s="2">
        <v>19</v>
      </c>
      <c r="BE22" s="2">
        <v>21</v>
      </c>
      <c r="BF22" s="2">
        <v>22</v>
      </c>
    </row>
    <row r="23" spans="1:58" x14ac:dyDescent="0.25">
      <c r="A23" s="2" t="s">
        <v>82</v>
      </c>
      <c r="B23" s="2" t="s">
        <v>103</v>
      </c>
      <c r="C23" s="2" t="s">
        <v>152</v>
      </c>
      <c r="D23" s="2">
        <v>0</v>
      </c>
      <c r="E23" s="2">
        <v>15</v>
      </c>
      <c r="F23" s="2">
        <v>1</v>
      </c>
      <c r="G23" s="2">
        <v>0.1</v>
      </c>
      <c r="H23" s="2">
        <v>0</v>
      </c>
      <c r="I23" s="2">
        <v>1</v>
      </c>
      <c r="J23" s="7">
        <v>1600</v>
      </c>
      <c r="K23" s="2">
        <v>16</v>
      </c>
      <c r="L23" s="2">
        <v>15</v>
      </c>
      <c r="M23" s="2">
        <v>18</v>
      </c>
      <c r="N23" s="2">
        <v>16</v>
      </c>
      <c r="O23" s="2">
        <v>15</v>
      </c>
      <c r="P23" s="2">
        <v>14</v>
      </c>
      <c r="Q23" s="2">
        <v>15</v>
      </c>
      <c r="R23" s="2">
        <v>13</v>
      </c>
      <c r="S23" s="2">
        <v>13</v>
      </c>
      <c r="T23" s="2">
        <v>14</v>
      </c>
      <c r="U23" s="2">
        <v>17</v>
      </c>
      <c r="V23" s="2">
        <v>15</v>
      </c>
      <c r="W23" s="2">
        <v>16</v>
      </c>
      <c r="X23" s="2">
        <v>17</v>
      </c>
      <c r="Y23" s="2">
        <v>15</v>
      </c>
      <c r="Z23" s="2">
        <v>17</v>
      </c>
      <c r="AA23" s="2">
        <v>18</v>
      </c>
      <c r="AB23" s="2">
        <v>15</v>
      </c>
      <c r="AC23" s="2">
        <v>14</v>
      </c>
      <c r="AD23" s="2">
        <v>14</v>
      </c>
      <c r="AE23" s="2">
        <v>12</v>
      </c>
      <c r="AF23" s="2">
        <v>14</v>
      </c>
      <c r="AG23" s="2">
        <v>15</v>
      </c>
      <c r="AH23" s="2">
        <v>14</v>
      </c>
      <c r="AI23" s="2">
        <v>18</v>
      </c>
      <c r="AJ23" s="2">
        <v>15</v>
      </c>
      <c r="AK23" s="2">
        <v>16</v>
      </c>
      <c r="AL23" s="2">
        <v>15</v>
      </c>
      <c r="AM23" s="2">
        <v>15</v>
      </c>
      <c r="AN23" s="2">
        <v>16</v>
      </c>
      <c r="AO23" s="2">
        <v>14</v>
      </c>
      <c r="AP23" s="2">
        <v>13</v>
      </c>
      <c r="AQ23" s="2">
        <v>14</v>
      </c>
      <c r="AR23" s="2">
        <v>12</v>
      </c>
      <c r="AS23" s="2">
        <v>16</v>
      </c>
      <c r="AT23" s="2">
        <v>15</v>
      </c>
      <c r="AU23" s="2">
        <v>17</v>
      </c>
      <c r="AV23" s="2">
        <v>16</v>
      </c>
      <c r="AW23" s="2">
        <v>15</v>
      </c>
      <c r="AX23" s="2">
        <v>15</v>
      </c>
      <c r="AY23" s="2">
        <v>14</v>
      </c>
      <c r="AZ23" s="2">
        <v>16</v>
      </c>
      <c r="BA23" s="2">
        <v>15</v>
      </c>
      <c r="BB23" s="2">
        <v>13</v>
      </c>
      <c r="BC23" s="2">
        <v>14</v>
      </c>
      <c r="BD23" s="2">
        <v>12</v>
      </c>
      <c r="BE23" s="2">
        <v>15</v>
      </c>
      <c r="BF23" s="2">
        <v>15</v>
      </c>
    </row>
    <row r="24" spans="1:58" x14ac:dyDescent="0.25">
      <c r="J24" s="2" t="s">
        <v>153</v>
      </c>
      <c r="K24" s="2">
        <f>SUM(K4,K6,K8,K10,K12,K14,K16,K18,K20,K22)</f>
        <v>195</v>
      </c>
      <c r="L24" s="2">
        <f t="shared" ref="L24:BF25" si="0">SUM(L4,L6,L8,L10,L12,L14,L16,L18,L20,L22)</f>
        <v>195</v>
      </c>
      <c r="M24" s="2">
        <f t="shared" si="0"/>
        <v>189</v>
      </c>
      <c r="N24" s="2">
        <f t="shared" si="0"/>
        <v>193</v>
      </c>
      <c r="O24" s="2">
        <f t="shared" si="0"/>
        <v>200</v>
      </c>
      <c r="P24" s="2">
        <f t="shared" si="0"/>
        <v>210</v>
      </c>
      <c r="Q24" s="2">
        <f t="shared" si="0"/>
        <v>205</v>
      </c>
      <c r="R24" s="2">
        <f t="shared" si="0"/>
        <v>205</v>
      </c>
      <c r="S24" s="2">
        <f t="shared" si="0"/>
        <v>206</v>
      </c>
      <c r="T24" s="2">
        <f t="shared" si="0"/>
        <v>196</v>
      </c>
      <c r="U24" s="2">
        <f t="shared" si="0"/>
        <v>203</v>
      </c>
      <c r="V24" s="2">
        <f t="shared" si="0"/>
        <v>201</v>
      </c>
      <c r="W24" s="2">
        <f t="shared" si="0"/>
        <v>202</v>
      </c>
      <c r="X24" s="2">
        <f t="shared" si="0"/>
        <v>196</v>
      </c>
      <c r="Y24" s="2">
        <f t="shared" si="0"/>
        <v>220</v>
      </c>
      <c r="Z24" s="2">
        <f t="shared" si="0"/>
        <v>212</v>
      </c>
      <c r="AA24" s="2">
        <f t="shared" si="0"/>
        <v>212</v>
      </c>
      <c r="AB24" s="2">
        <f t="shared" si="0"/>
        <v>212</v>
      </c>
      <c r="AC24" s="2">
        <f t="shared" si="0"/>
        <v>220</v>
      </c>
      <c r="AD24" s="2">
        <f t="shared" si="0"/>
        <v>217</v>
      </c>
      <c r="AE24" s="2">
        <f t="shared" si="0"/>
        <v>215</v>
      </c>
      <c r="AF24" s="2">
        <f t="shared" si="0"/>
        <v>210</v>
      </c>
      <c r="AG24" s="2">
        <f t="shared" si="0"/>
        <v>208</v>
      </c>
      <c r="AH24" s="2">
        <f t="shared" si="0"/>
        <v>207</v>
      </c>
      <c r="AI24" s="2">
        <f t="shared" si="0"/>
        <v>211</v>
      </c>
      <c r="AJ24" s="2">
        <f t="shared" si="0"/>
        <v>210</v>
      </c>
      <c r="AK24" s="2">
        <f t="shared" si="0"/>
        <v>215</v>
      </c>
      <c r="AL24" s="2">
        <f t="shared" si="0"/>
        <v>216</v>
      </c>
      <c r="AM24" s="2">
        <f t="shared" si="0"/>
        <v>209</v>
      </c>
      <c r="AN24" s="2">
        <f t="shared" si="0"/>
        <v>213</v>
      </c>
      <c r="AO24" s="2">
        <f t="shared" si="0"/>
        <v>215</v>
      </c>
      <c r="AP24" s="2">
        <f t="shared" si="0"/>
        <v>208</v>
      </c>
      <c r="AQ24" s="2">
        <f t="shared" si="0"/>
        <v>216</v>
      </c>
      <c r="AR24" s="2">
        <f t="shared" si="0"/>
        <v>213</v>
      </c>
      <c r="AS24" s="2">
        <f t="shared" si="0"/>
        <v>218</v>
      </c>
      <c r="AT24" s="2">
        <f t="shared" si="0"/>
        <v>214</v>
      </c>
      <c r="AU24" s="2">
        <f t="shared" si="0"/>
        <v>222</v>
      </c>
      <c r="AV24" s="2">
        <f t="shared" si="0"/>
        <v>232</v>
      </c>
      <c r="AW24" s="2">
        <f t="shared" si="0"/>
        <v>228</v>
      </c>
      <c r="AX24" s="2">
        <f t="shared" si="0"/>
        <v>231</v>
      </c>
      <c r="AY24" s="2">
        <f t="shared" si="0"/>
        <v>237</v>
      </c>
      <c r="AZ24" s="2">
        <f t="shared" si="0"/>
        <v>232</v>
      </c>
      <c r="BA24" s="2">
        <f t="shared" si="0"/>
        <v>234</v>
      </c>
      <c r="BB24" s="2">
        <f t="shared" si="0"/>
        <v>228</v>
      </c>
      <c r="BC24" s="2">
        <f t="shared" si="0"/>
        <v>224</v>
      </c>
      <c r="BD24" s="2">
        <f t="shared" si="0"/>
        <v>212</v>
      </c>
      <c r="BE24" s="2">
        <f t="shared" si="0"/>
        <v>214</v>
      </c>
      <c r="BF24" s="2">
        <f t="shared" si="0"/>
        <v>230</v>
      </c>
    </row>
    <row r="25" spans="1:58" x14ac:dyDescent="0.25">
      <c r="J25" s="2" t="s">
        <v>154</v>
      </c>
      <c r="K25" s="2">
        <f>SUM(K5,K7,K9,K11,K13,K15,K17,K19,K21,K23)</f>
        <v>130</v>
      </c>
      <c r="L25" s="2">
        <f t="shared" si="0"/>
        <v>118</v>
      </c>
      <c r="M25" s="2">
        <f t="shared" si="0"/>
        <v>131</v>
      </c>
      <c r="N25" s="2">
        <f t="shared" si="0"/>
        <v>132</v>
      </c>
      <c r="O25" s="2">
        <f t="shared" si="0"/>
        <v>122</v>
      </c>
      <c r="P25" s="2">
        <f t="shared" si="0"/>
        <v>119</v>
      </c>
      <c r="Q25" s="2">
        <f t="shared" si="0"/>
        <v>126</v>
      </c>
      <c r="R25" s="2">
        <f t="shared" si="0"/>
        <v>126</v>
      </c>
      <c r="S25" s="2">
        <f t="shared" si="0"/>
        <v>134</v>
      </c>
      <c r="T25" s="2">
        <f t="shared" si="0"/>
        <v>131</v>
      </c>
      <c r="U25" s="2">
        <f t="shared" si="0"/>
        <v>135</v>
      </c>
      <c r="V25" s="2">
        <f t="shared" si="0"/>
        <v>135</v>
      </c>
      <c r="W25" s="2">
        <f t="shared" si="0"/>
        <v>139</v>
      </c>
      <c r="X25" s="2">
        <f t="shared" si="0"/>
        <v>144</v>
      </c>
      <c r="Y25" s="2">
        <f t="shared" si="0"/>
        <v>145</v>
      </c>
      <c r="Z25" s="2">
        <f t="shared" si="0"/>
        <v>146</v>
      </c>
      <c r="AA25" s="2">
        <f t="shared" si="0"/>
        <v>150</v>
      </c>
      <c r="AB25" s="2">
        <f t="shared" si="0"/>
        <v>138</v>
      </c>
      <c r="AC25" s="2">
        <f t="shared" si="0"/>
        <v>143</v>
      </c>
      <c r="AD25" s="2">
        <f t="shared" si="0"/>
        <v>146</v>
      </c>
      <c r="AE25" s="2">
        <f t="shared" si="0"/>
        <v>148</v>
      </c>
      <c r="AF25" s="2">
        <f t="shared" si="0"/>
        <v>146</v>
      </c>
      <c r="AG25" s="2">
        <f t="shared" si="0"/>
        <v>151</v>
      </c>
      <c r="AH25" s="2">
        <f t="shared" si="0"/>
        <v>152</v>
      </c>
      <c r="AI25" s="2">
        <f t="shared" si="0"/>
        <v>163</v>
      </c>
      <c r="AJ25" s="2">
        <f t="shared" si="0"/>
        <v>155</v>
      </c>
      <c r="AK25" s="2">
        <f t="shared" si="0"/>
        <v>163</v>
      </c>
      <c r="AL25" s="2">
        <f t="shared" si="0"/>
        <v>153</v>
      </c>
      <c r="AM25" s="2">
        <f t="shared" si="0"/>
        <v>153</v>
      </c>
      <c r="AN25" s="2">
        <f t="shared" si="0"/>
        <v>156</v>
      </c>
      <c r="AO25" s="2">
        <f t="shared" si="0"/>
        <v>156</v>
      </c>
      <c r="AP25" s="2">
        <f t="shared" si="0"/>
        <v>156</v>
      </c>
      <c r="AQ25" s="2">
        <f t="shared" si="0"/>
        <v>153</v>
      </c>
      <c r="AR25" s="2">
        <f t="shared" si="0"/>
        <v>163</v>
      </c>
      <c r="AS25" s="2">
        <f t="shared" si="0"/>
        <v>164</v>
      </c>
      <c r="AT25" s="2">
        <f t="shared" si="0"/>
        <v>159</v>
      </c>
      <c r="AU25" s="2">
        <f t="shared" si="0"/>
        <v>169</v>
      </c>
      <c r="AV25" s="2">
        <f t="shared" si="0"/>
        <v>169</v>
      </c>
      <c r="AW25" s="2">
        <f t="shared" si="0"/>
        <v>174</v>
      </c>
      <c r="AX25" s="2">
        <f t="shared" si="0"/>
        <v>177</v>
      </c>
      <c r="AY25" s="2">
        <f t="shared" si="0"/>
        <v>183</v>
      </c>
      <c r="AZ25" s="2">
        <f t="shared" si="0"/>
        <v>182</v>
      </c>
      <c r="BA25" s="2">
        <f t="shared" si="0"/>
        <v>185</v>
      </c>
      <c r="BB25" s="2">
        <f t="shared" si="0"/>
        <v>176</v>
      </c>
      <c r="BC25" s="2">
        <f t="shared" si="0"/>
        <v>177</v>
      </c>
      <c r="BD25" s="2">
        <f t="shared" si="0"/>
        <v>179</v>
      </c>
      <c r="BE25" s="2">
        <f t="shared" si="0"/>
        <v>171</v>
      </c>
      <c r="BF25" s="2">
        <f t="shared" si="0"/>
        <v>173</v>
      </c>
    </row>
    <row r="44" spans="1:13" x14ac:dyDescent="0.25">
      <c r="A44" s="22"/>
    </row>
    <row r="45" spans="1:13" x14ac:dyDescent="0.25">
      <c r="A45" s="22" t="s">
        <v>155</v>
      </c>
      <c r="C45" s="22"/>
    </row>
    <row r="46" spans="1:13" x14ac:dyDescent="0.25">
      <c r="A46" s="24"/>
      <c r="B46" s="14" t="s">
        <v>156</v>
      </c>
      <c r="C46" s="14" t="s">
        <v>157</v>
      </c>
      <c r="D46" s="14" t="s">
        <v>158</v>
      </c>
      <c r="E46" s="14" t="s">
        <v>159</v>
      </c>
      <c r="F46" s="14" t="s">
        <v>160</v>
      </c>
      <c r="G46" s="14" t="s">
        <v>161</v>
      </c>
      <c r="H46" s="14" t="s">
        <v>162</v>
      </c>
      <c r="I46" s="14" t="s">
        <v>163</v>
      </c>
      <c r="J46" s="14" t="s">
        <v>164</v>
      </c>
      <c r="K46" s="14" t="s">
        <v>165</v>
      </c>
      <c r="L46" s="14" t="s">
        <v>166</v>
      </c>
      <c r="M46" s="14" t="s">
        <v>167</v>
      </c>
    </row>
    <row r="47" spans="1:13" x14ac:dyDescent="0.25">
      <c r="A47" s="14">
        <v>2022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x14ac:dyDescent="0.25">
      <c r="A48" s="14">
        <v>2023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50" spans="1:14" x14ac:dyDescent="0.25">
      <c r="A50" s="2" t="s">
        <v>65</v>
      </c>
      <c r="B50" s="2" t="s">
        <v>151</v>
      </c>
      <c r="C50" s="2">
        <v>10</v>
      </c>
      <c r="D50" s="2">
        <v>14</v>
      </c>
      <c r="E50" s="2">
        <v>15</v>
      </c>
      <c r="F50" s="2">
        <v>15</v>
      </c>
      <c r="G50" s="2">
        <v>15</v>
      </c>
      <c r="H50" s="2">
        <v>16</v>
      </c>
      <c r="I50" s="2">
        <v>15</v>
      </c>
      <c r="J50" s="2">
        <v>15</v>
      </c>
      <c r="K50" s="2">
        <v>14</v>
      </c>
      <c r="L50" s="2">
        <v>13</v>
      </c>
      <c r="M50" s="2">
        <v>13</v>
      </c>
      <c r="N50" s="2">
        <v>13</v>
      </c>
    </row>
    <row r="51" spans="1:14" x14ac:dyDescent="0.25">
      <c r="C51" s="2">
        <v>15</v>
      </c>
      <c r="D51" s="2">
        <v>16</v>
      </c>
      <c r="E51" s="2">
        <v>22</v>
      </c>
      <c r="F51" s="2">
        <v>20</v>
      </c>
      <c r="G51" s="2">
        <v>21</v>
      </c>
      <c r="H51" s="2">
        <v>22</v>
      </c>
      <c r="I51" s="2">
        <v>19</v>
      </c>
      <c r="J51" s="2">
        <v>19</v>
      </c>
      <c r="K51" s="2">
        <v>18</v>
      </c>
      <c r="L51" s="2">
        <v>17</v>
      </c>
      <c r="M51" s="2">
        <v>16</v>
      </c>
      <c r="N51" s="2">
        <v>19</v>
      </c>
    </row>
    <row r="52" spans="1:14" x14ac:dyDescent="0.25">
      <c r="A52" s="2" t="s">
        <v>65</v>
      </c>
      <c r="B52" s="2" t="s">
        <v>152</v>
      </c>
      <c r="C52" s="2">
        <v>5</v>
      </c>
      <c r="D52" s="2">
        <v>6</v>
      </c>
      <c r="E52" s="2">
        <v>8</v>
      </c>
      <c r="F52" s="2">
        <v>10</v>
      </c>
      <c r="G52" s="2">
        <v>11</v>
      </c>
      <c r="H52" s="2">
        <v>11</v>
      </c>
      <c r="I52" s="2">
        <v>11</v>
      </c>
      <c r="J52" s="2">
        <v>11</v>
      </c>
      <c r="K52" s="2">
        <v>10</v>
      </c>
      <c r="L52" s="2">
        <v>9</v>
      </c>
      <c r="M52" s="2">
        <v>8</v>
      </c>
      <c r="N52" s="2">
        <v>8</v>
      </c>
    </row>
    <row r="53" spans="1:14" x14ac:dyDescent="0.25">
      <c r="C53" s="2">
        <v>12</v>
      </c>
      <c r="D53" s="2">
        <v>13</v>
      </c>
      <c r="E53" s="2">
        <v>15</v>
      </c>
      <c r="F53" s="2">
        <v>15</v>
      </c>
      <c r="G53" s="2">
        <v>15</v>
      </c>
      <c r="H53" s="2">
        <v>15</v>
      </c>
      <c r="I53" s="2">
        <v>15</v>
      </c>
      <c r="J53" s="2">
        <v>15</v>
      </c>
      <c r="K53" s="2">
        <v>12</v>
      </c>
      <c r="L53" s="2">
        <v>13</v>
      </c>
      <c r="M53" s="2">
        <v>13</v>
      </c>
      <c r="N53" s="2">
        <v>13</v>
      </c>
    </row>
    <row r="54" spans="1:14" x14ac:dyDescent="0.25">
      <c r="A54" s="2" t="s">
        <v>74</v>
      </c>
      <c r="B54" s="2" t="s">
        <v>151</v>
      </c>
      <c r="C54" s="2">
        <v>22</v>
      </c>
      <c r="D54" s="2">
        <v>20</v>
      </c>
      <c r="E54" s="2">
        <v>24</v>
      </c>
      <c r="F54" s="2">
        <v>21</v>
      </c>
      <c r="G54" s="2">
        <v>23</v>
      </c>
      <c r="H54" s="2">
        <v>21</v>
      </c>
      <c r="I54" s="2">
        <v>22</v>
      </c>
      <c r="J54" s="2">
        <v>21</v>
      </c>
      <c r="K54" s="2">
        <v>22</v>
      </c>
      <c r="L54" s="2">
        <v>22</v>
      </c>
      <c r="M54" s="2">
        <v>23</v>
      </c>
      <c r="N54" s="2">
        <v>23</v>
      </c>
    </row>
    <row r="55" spans="1:14" x14ac:dyDescent="0.25">
      <c r="C55" s="2">
        <v>21</v>
      </c>
      <c r="D55" s="2">
        <v>22</v>
      </c>
      <c r="E55" s="2">
        <v>22</v>
      </c>
      <c r="F55" s="2">
        <v>22</v>
      </c>
      <c r="G55" s="2">
        <v>23</v>
      </c>
      <c r="H55" s="2">
        <v>21</v>
      </c>
      <c r="I55" s="2">
        <v>21</v>
      </c>
      <c r="J55" s="2">
        <v>21</v>
      </c>
      <c r="K55" s="2">
        <v>23</v>
      </c>
      <c r="L55" s="2">
        <v>22</v>
      </c>
      <c r="M55" s="2">
        <v>24</v>
      </c>
      <c r="N55" s="2">
        <v>21</v>
      </c>
    </row>
    <row r="56" spans="1:14" x14ac:dyDescent="0.25">
      <c r="A56" s="2" t="s">
        <v>74</v>
      </c>
      <c r="B56" s="2" t="s">
        <v>152</v>
      </c>
      <c r="C56" s="2">
        <v>15</v>
      </c>
      <c r="D56" s="2">
        <v>14</v>
      </c>
      <c r="E56" s="2">
        <v>15</v>
      </c>
      <c r="F56" s="2">
        <v>15</v>
      </c>
      <c r="G56" s="2">
        <v>14</v>
      </c>
      <c r="H56" s="2">
        <v>15</v>
      </c>
      <c r="I56" s="2">
        <v>15</v>
      </c>
      <c r="J56" s="2">
        <v>13</v>
      </c>
      <c r="K56" s="2">
        <v>14</v>
      </c>
      <c r="L56" s="2">
        <v>14</v>
      </c>
      <c r="M56" s="2">
        <v>15</v>
      </c>
      <c r="N56" s="2">
        <v>15</v>
      </c>
    </row>
    <row r="57" spans="1:14" x14ac:dyDescent="0.25">
      <c r="C57" s="2">
        <v>15</v>
      </c>
      <c r="D57" s="2">
        <v>14</v>
      </c>
      <c r="E57" s="2">
        <v>14</v>
      </c>
      <c r="F57" s="2">
        <v>17</v>
      </c>
      <c r="G57" s="2">
        <v>13</v>
      </c>
      <c r="H57" s="2">
        <v>14</v>
      </c>
      <c r="I57" s="2">
        <v>14</v>
      </c>
      <c r="J57" s="2">
        <v>17</v>
      </c>
      <c r="K57" s="2">
        <v>15</v>
      </c>
      <c r="L57" s="2">
        <v>16</v>
      </c>
      <c r="M57" s="2">
        <v>14</v>
      </c>
      <c r="N57" s="2">
        <v>13</v>
      </c>
    </row>
    <row r="58" spans="1:14" x14ac:dyDescent="0.25">
      <c r="A58" s="2" t="s">
        <v>75</v>
      </c>
      <c r="B58" s="2" t="s">
        <v>151</v>
      </c>
      <c r="C58" s="2">
        <v>27</v>
      </c>
      <c r="D58" s="2">
        <v>24</v>
      </c>
      <c r="E58" s="2">
        <v>22</v>
      </c>
      <c r="F58" s="2">
        <v>21</v>
      </c>
      <c r="G58" s="2">
        <v>19</v>
      </c>
      <c r="H58" s="2">
        <v>19</v>
      </c>
      <c r="I58" s="2">
        <v>19</v>
      </c>
      <c r="J58" s="2">
        <v>19</v>
      </c>
      <c r="K58" s="2">
        <v>21</v>
      </c>
      <c r="L58" s="2">
        <v>24</v>
      </c>
      <c r="M58" s="2">
        <v>26</v>
      </c>
      <c r="N58" s="2">
        <v>26</v>
      </c>
    </row>
    <row r="59" spans="1:14" x14ac:dyDescent="0.25">
      <c r="C59" s="2">
        <v>26</v>
      </c>
      <c r="D59" s="2">
        <v>25</v>
      </c>
      <c r="E59" s="2">
        <v>24</v>
      </c>
      <c r="F59" s="2">
        <v>22</v>
      </c>
      <c r="G59" s="2">
        <v>17</v>
      </c>
      <c r="H59" s="2">
        <v>16</v>
      </c>
      <c r="I59" s="2">
        <v>20</v>
      </c>
      <c r="J59" s="2">
        <v>18</v>
      </c>
      <c r="K59" s="2">
        <v>22</v>
      </c>
      <c r="L59" s="2">
        <v>25</v>
      </c>
      <c r="M59" s="2">
        <v>25</v>
      </c>
      <c r="N59" s="2">
        <v>25</v>
      </c>
    </row>
    <row r="60" spans="1:14" x14ac:dyDescent="0.25">
      <c r="A60" s="2" t="s">
        <v>75</v>
      </c>
      <c r="B60" s="2" t="s">
        <v>152</v>
      </c>
      <c r="C60" s="2">
        <v>13</v>
      </c>
      <c r="D60" s="2">
        <v>14</v>
      </c>
      <c r="E60" s="2">
        <v>14</v>
      </c>
      <c r="F60" s="2">
        <v>14</v>
      </c>
      <c r="G60" s="2">
        <v>13</v>
      </c>
      <c r="H60" s="2">
        <v>14</v>
      </c>
      <c r="I60" s="2">
        <v>17</v>
      </c>
      <c r="J60" s="2">
        <v>16</v>
      </c>
      <c r="K60" s="2">
        <v>19</v>
      </c>
      <c r="L60" s="2">
        <v>17</v>
      </c>
      <c r="M60" s="2">
        <v>17</v>
      </c>
      <c r="N60" s="2">
        <v>15</v>
      </c>
    </row>
    <row r="61" spans="1:14" x14ac:dyDescent="0.25">
      <c r="C61" s="2">
        <v>13</v>
      </c>
      <c r="D61" s="2">
        <v>11</v>
      </c>
      <c r="E61" s="2">
        <v>12</v>
      </c>
      <c r="F61" s="2">
        <v>12</v>
      </c>
      <c r="G61" s="2">
        <v>14</v>
      </c>
      <c r="H61" s="2">
        <v>14</v>
      </c>
      <c r="I61" s="2">
        <v>16</v>
      </c>
      <c r="J61" s="2">
        <v>17</v>
      </c>
      <c r="K61" s="2">
        <v>20</v>
      </c>
      <c r="L61" s="2">
        <v>16</v>
      </c>
      <c r="M61" s="2">
        <v>17</v>
      </c>
      <c r="N61" s="2">
        <v>17</v>
      </c>
    </row>
    <row r="62" spans="1:14" x14ac:dyDescent="0.25">
      <c r="A62" s="2" t="s">
        <v>76</v>
      </c>
      <c r="B62" s="2" t="s">
        <v>151</v>
      </c>
      <c r="C62" s="2">
        <v>13</v>
      </c>
      <c r="D62" s="2">
        <v>11</v>
      </c>
      <c r="E62" s="2">
        <v>13</v>
      </c>
      <c r="F62" s="2">
        <v>10</v>
      </c>
      <c r="G62" s="2">
        <v>12</v>
      </c>
      <c r="H62" s="2">
        <v>13</v>
      </c>
      <c r="I62" s="2">
        <v>13</v>
      </c>
      <c r="J62" s="2">
        <v>12</v>
      </c>
      <c r="K62" s="2">
        <v>14</v>
      </c>
      <c r="L62" s="2">
        <v>15</v>
      </c>
      <c r="M62" s="2">
        <v>17</v>
      </c>
      <c r="N62" s="2">
        <v>16</v>
      </c>
    </row>
    <row r="63" spans="1:14" x14ac:dyDescent="0.25">
      <c r="C63" s="2">
        <v>19</v>
      </c>
      <c r="D63" s="2">
        <v>18</v>
      </c>
      <c r="E63" s="2">
        <v>21</v>
      </c>
      <c r="F63" s="2">
        <v>22</v>
      </c>
      <c r="G63" s="2">
        <v>23</v>
      </c>
      <c r="H63" s="2">
        <v>25</v>
      </c>
      <c r="I63" s="2">
        <v>25</v>
      </c>
      <c r="J63" s="2">
        <v>25</v>
      </c>
      <c r="K63" s="2">
        <v>24</v>
      </c>
      <c r="L63" s="2">
        <v>23</v>
      </c>
      <c r="M63" s="2">
        <v>23</v>
      </c>
      <c r="N63" s="2">
        <v>22</v>
      </c>
    </row>
    <row r="64" spans="1:14" x14ac:dyDescent="0.25">
      <c r="A64" s="2" t="s">
        <v>76</v>
      </c>
      <c r="B64" s="2" t="s">
        <v>152</v>
      </c>
      <c r="C64" s="2">
        <v>7</v>
      </c>
      <c r="D64" s="2">
        <v>4</v>
      </c>
      <c r="E64" s="2">
        <v>6</v>
      </c>
      <c r="F64" s="2">
        <v>6</v>
      </c>
      <c r="G64" s="2">
        <v>5</v>
      </c>
      <c r="H64" s="2">
        <v>6</v>
      </c>
      <c r="I64" s="2">
        <v>6</v>
      </c>
      <c r="J64" s="2">
        <v>8</v>
      </c>
      <c r="K64" s="2">
        <v>10</v>
      </c>
      <c r="L64" s="2">
        <v>10</v>
      </c>
      <c r="M64" s="2">
        <v>9</v>
      </c>
      <c r="N64" s="2">
        <v>9</v>
      </c>
    </row>
    <row r="65" spans="1:14" x14ac:dyDescent="0.25">
      <c r="C65" s="2">
        <v>12</v>
      </c>
      <c r="D65" s="2">
        <v>14</v>
      </c>
      <c r="E65" s="2">
        <v>15</v>
      </c>
      <c r="F65" s="2">
        <v>15</v>
      </c>
      <c r="G65" s="2">
        <v>14</v>
      </c>
      <c r="H65" s="2">
        <v>16</v>
      </c>
      <c r="I65" s="2">
        <v>15</v>
      </c>
      <c r="J65" s="2">
        <v>15</v>
      </c>
      <c r="K65" s="2">
        <v>16</v>
      </c>
      <c r="L65" s="2">
        <v>15</v>
      </c>
      <c r="M65" s="2">
        <v>15</v>
      </c>
      <c r="N65" s="2">
        <v>15</v>
      </c>
    </row>
    <row r="66" spans="1:14" x14ac:dyDescent="0.25">
      <c r="A66" s="2" t="s">
        <v>77</v>
      </c>
      <c r="B66" s="2" t="s">
        <v>151</v>
      </c>
      <c r="C66" s="2">
        <v>14</v>
      </c>
      <c r="D66" s="2">
        <v>17</v>
      </c>
      <c r="E66" s="2">
        <v>14</v>
      </c>
      <c r="F66" s="2">
        <v>20</v>
      </c>
      <c r="G66" s="2">
        <v>16</v>
      </c>
      <c r="H66" s="2">
        <v>16</v>
      </c>
      <c r="I66" s="2">
        <v>11</v>
      </c>
      <c r="J66" s="2">
        <v>13</v>
      </c>
      <c r="K66" s="2">
        <v>15</v>
      </c>
      <c r="L66" s="2">
        <v>11</v>
      </c>
      <c r="M66" s="2">
        <v>16</v>
      </c>
      <c r="N66" s="2">
        <v>16</v>
      </c>
    </row>
    <row r="67" spans="1:14" x14ac:dyDescent="0.25">
      <c r="C67" s="2">
        <v>22</v>
      </c>
      <c r="D67" s="2">
        <v>20</v>
      </c>
      <c r="E67" s="2">
        <v>27</v>
      </c>
      <c r="F67" s="2">
        <v>23</v>
      </c>
      <c r="G67" s="2">
        <v>26</v>
      </c>
      <c r="H67" s="2">
        <v>19</v>
      </c>
      <c r="I67" s="2">
        <v>18</v>
      </c>
      <c r="J67" s="2">
        <v>17</v>
      </c>
      <c r="K67" s="2">
        <v>20</v>
      </c>
      <c r="L67" s="2">
        <v>16</v>
      </c>
      <c r="M67" s="2">
        <v>18</v>
      </c>
      <c r="N67" s="2">
        <v>21</v>
      </c>
    </row>
    <row r="68" spans="1:14" x14ac:dyDescent="0.25">
      <c r="A68" s="2" t="s">
        <v>77</v>
      </c>
      <c r="B68" s="2" t="s">
        <v>152</v>
      </c>
      <c r="C68" s="2">
        <v>10</v>
      </c>
      <c r="D68" s="2">
        <v>8</v>
      </c>
      <c r="E68" s="2">
        <v>7</v>
      </c>
      <c r="F68" s="2">
        <v>8</v>
      </c>
      <c r="G68" s="2">
        <v>10</v>
      </c>
      <c r="H68" s="2">
        <v>7</v>
      </c>
      <c r="I68" s="2">
        <v>5</v>
      </c>
      <c r="J68" s="2">
        <v>6</v>
      </c>
      <c r="K68" s="2">
        <v>9</v>
      </c>
      <c r="L68" s="2">
        <v>8</v>
      </c>
      <c r="M68" s="2">
        <v>9</v>
      </c>
      <c r="N68" s="2">
        <v>10</v>
      </c>
    </row>
    <row r="69" spans="1:14" x14ac:dyDescent="0.25">
      <c r="C69" s="2">
        <v>10</v>
      </c>
      <c r="D69" s="2">
        <v>14</v>
      </c>
      <c r="E69" s="2">
        <v>13</v>
      </c>
      <c r="F69" s="2">
        <v>15</v>
      </c>
      <c r="G69" s="2">
        <v>17</v>
      </c>
      <c r="H69" s="2">
        <v>10</v>
      </c>
      <c r="I69" s="2">
        <v>10</v>
      </c>
      <c r="J69" s="2">
        <v>11</v>
      </c>
      <c r="K69" s="2">
        <v>7</v>
      </c>
      <c r="L69" s="2">
        <v>12</v>
      </c>
      <c r="M69" s="2">
        <v>15</v>
      </c>
      <c r="N69" s="2">
        <v>16</v>
      </c>
    </row>
    <row r="70" spans="1:14" x14ac:dyDescent="0.25">
      <c r="A70" s="2" t="s">
        <v>78</v>
      </c>
      <c r="B70" s="2" t="s">
        <v>151</v>
      </c>
      <c r="C70" s="2">
        <v>33</v>
      </c>
      <c r="D70" s="2">
        <v>28</v>
      </c>
      <c r="E70" s="2">
        <v>24</v>
      </c>
      <c r="F70" s="2">
        <v>24</v>
      </c>
      <c r="G70" s="2">
        <v>29</v>
      </c>
      <c r="H70" s="2">
        <v>34</v>
      </c>
      <c r="I70" s="2">
        <v>34</v>
      </c>
      <c r="J70" s="2">
        <v>38</v>
      </c>
      <c r="K70" s="2">
        <v>36</v>
      </c>
      <c r="L70" s="2">
        <v>30</v>
      </c>
      <c r="M70" s="2">
        <v>32</v>
      </c>
      <c r="N70" s="2">
        <v>26</v>
      </c>
    </row>
    <row r="71" spans="1:14" x14ac:dyDescent="0.25">
      <c r="C71" s="2">
        <v>25</v>
      </c>
      <c r="D71" s="2">
        <v>18</v>
      </c>
      <c r="E71" s="2">
        <v>21</v>
      </c>
      <c r="F71" s="2">
        <v>20</v>
      </c>
      <c r="G71" s="2">
        <v>21</v>
      </c>
      <c r="H71" s="2">
        <v>21</v>
      </c>
      <c r="I71" s="2">
        <v>29</v>
      </c>
      <c r="J71" s="2">
        <v>28</v>
      </c>
      <c r="K71" s="2">
        <v>25</v>
      </c>
      <c r="L71" s="2">
        <v>26</v>
      </c>
      <c r="M71" s="2">
        <v>26</v>
      </c>
      <c r="N71" s="2">
        <v>21</v>
      </c>
    </row>
    <row r="72" spans="1:14" x14ac:dyDescent="0.25">
      <c r="A72" s="2" t="s">
        <v>78</v>
      </c>
      <c r="B72" s="2" t="s">
        <v>152</v>
      </c>
      <c r="C72" s="2">
        <v>13</v>
      </c>
      <c r="D72" s="2">
        <v>10</v>
      </c>
      <c r="E72" s="2">
        <v>14</v>
      </c>
      <c r="F72" s="2">
        <v>18</v>
      </c>
      <c r="G72" s="2">
        <v>14</v>
      </c>
      <c r="H72" s="2">
        <v>17</v>
      </c>
      <c r="I72" s="2">
        <v>20</v>
      </c>
      <c r="J72" s="2">
        <v>20</v>
      </c>
      <c r="K72" s="2">
        <v>19</v>
      </c>
      <c r="L72" s="2">
        <v>19</v>
      </c>
      <c r="M72" s="2">
        <v>17</v>
      </c>
      <c r="N72" s="2">
        <v>15</v>
      </c>
    </row>
    <row r="73" spans="1:14" x14ac:dyDescent="0.25">
      <c r="C73" s="2">
        <v>13</v>
      </c>
      <c r="D73" s="2">
        <v>14</v>
      </c>
      <c r="E73" s="2">
        <v>14</v>
      </c>
      <c r="F73" s="2">
        <v>11</v>
      </c>
      <c r="G73" s="2">
        <v>15</v>
      </c>
      <c r="H73" s="2">
        <v>12</v>
      </c>
      <c r="I73" s="2">
        <v>15</v>
      </c>
      <c r="J73" s="2">
        <v>15</v>
      </c>
      <c r="K73" s="2">
        <v>22</v>
      </c>
      <c r="L73" s="2">
        <v>19</v>
      </c>
      <c r="M73" s="2">
        <v>16</v>
      </c>
      <c r="N73" s="2">
        <v>18</v>
      </c>
    </row>
    <row r="74" spans="1:14" x14ac:dyDescent="0.25">
      <c r="A74" s="2" t="s">
        <v>79</v>
      </c>
      <c r="B74" s="2" t="s">
        <v>151</v>
      </c>
      <c r="C74" s="2">
        <v>19</v>
      </c>
      <c r="D74" s="2">
        <v>25</v>
      </c>
      <c r="E74" s="2">
        <v>25</v>
      </c>
      <c r="F74" s="2">
        <v>29</v>
      </c>
      <c r="G74" s="2">
        <v>31</v>
      </c>
      <c r="H74" s="2">
        <v>32</v>
      </c>
      <c r="I74" s="2">
        <v>32</v>
      </c>
      <c r="J74" s="2">
        <v>28</v>
      </c>
      <c r="K74" s="2">
        <v>23</v>
      </c>
      <c r="L74" s="2">
        <v>21</v>
      </c>
      <c r="M74" s="2">
        <v>17</v>
      </c>
      <c r="N74" s="2">
        <v>22</v>
      </c>
    </row>
    <row r="75" spans="1:14" x14ac:dyDescent="0.25">
      <c r="C75" s="2">
        <v>21</v>
      </c>
      <c r="D75" s="2">
        <v>23</v>
      </c>
      <c r="E75" s="2">
        <v>26</v>
      </c>
      <c r="F75" s="2">
        <v>25</v>
      </c>
      <c r="G75" s="2">
        <v>24</v>
      </c>
      <c r="H75" s="2">
        <v>27</v>
      </c>
      <c r="I75" s="2">
        <v>29</v>
      </c>
      <c r="J75" s="2">
        <v>27</v>
      </c>
      <c r="K75" s="2">
        <v>22</v>
      </c>
      <c r="L75" s="2">
        <v>25</v>
      </c>
      <c r="M75" s="2">
        <v>18</v>
      </c>
      <c r="N75" s="2">
        <v>20</v>
      </c>
    </row>
    <row r="76" spans="1:14" x14ac:dyDescent="0.25">
      <c r="A76" s="2" t="s">
        <v>79</v>
      </c>
      <c r="B76" s="2" t="s">
        <v>152</v>
      </c>
      <c r="C76" s="2">
        <v>21</v>
      </c>
      <c r="D76" s="2">
        <v>20</v>
      </c>
      <c r="E76" s="2">
        <v>24</v>
      </c>
      <c r="F76" s="2">
        <v>23</v>
      </c>
      <c r="G76" s="2">
        <v>21</v>
      </c>
      <c r="H76" s="2">
        <v>18</v>
      </c>
      <c r="I76" s="2">
        <v>17</v>
      </c>
      <c r="J76" s="2">
        <v>16</v>
      </c>
      <c r="K76" s="2">
        <v>15</v>
      </c>
      <c r="L76" s="2">
        <v>12</v>
      </c>
      <c r="M76" s="2">
        <v>14</v>
      </c>
      <c r="N76" s="2">
        <v>17</v>
      </c>
    </row>
    <row r="77" spans="1:14" x14ac:dyDescent="0.25">
      <c r="C77" s="2">
        <v>19</v>
      </c>
      <c r="D77" s="2">
        <v>20</v>
      </c>
      <c r="E77" s="2">
        <v>22</v>
      </c>
      <c r="F77" s="2">
        <v>19</v>
      </c>
      <c r="G77" s="2">
        <v>19</v>
      </c>
      <c r="H77" s="2">
        <v>19</v>
      </c>
      <c r="I77" s="2">
        <v>19</v>
      </c>
      <c r="J77" s="2">
        <v>14</v>
      </c>
      <c r="K77" s="2">
        <v>13</v>
      </c>
      <c r="L77" s="2">
        <v>10</v>
      </c>
      <c r="M77" s="2">
        <v>14</v>
      </c>
      <c r="N77" s="2">
        <v>13</v>
      </c>
    </row>
    <row r="78" spans="1:14" x14ac:dyDescent="0.25">
      <c r="A78" s="2" t="s">
        <v>80</v>
      </c>
      <c r="B78" s="2" t="s">
        <v>151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1</v>
      </c>
      <c r="I78" s="2">
        <v>2</v>
      </c>
      <c r="J78" s="2">
        <v>1</v>
      </c>
      <c r="K78" s="2">
        <v>2</v>
      </c>
      <c r="L78" s="2">
        <v>2</v>
      </c>
      <c r="M78" s="2">
        <v>5</v>
      </c>
      <c r="N78" s="2">
        <v>7</v>
      </c>
    </row>
    <row r="79" spans="1:14" x14ac:dyDescent="0.25">
      <c r="C79" s="2">
        <v>4</v>
      </c>
      <c r="D79" s="2">
        <v>6</v>
      </c>
      <c r="E79" s="2">
        <v>9</v>
      </c>
      <c r="F79" s="2">
        <v>10</v>
      </c>
      <c r="G79" s="2">
        <v>9</v>
      </c>
      <c r="H79" s="2">
        <v>12</v>
      </c>
      <c r="I79" s="2">
        <v>10</v>
      </c>
      <c r="J79" s="2">
        <v>11</v>
      </c>
      <c r="K79" s="2">
        <v>14</v>
      </c>
      <c r="L79" s="2">
        <v>12</v>
      </c>
      <c r="M79" s="2">
        <v>13</v>
      </c>
      <c r="N79" s="2">
        <v>14</v>
      </c>
    </row>
    <row r="80" spans="1:14" x14ac:dyDescent="0.25">
      <c r="A80" s="2" t="s">
        <v>80</v>
      </c>
      <c r="B80" s="2" t="s">
        <v>152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1</v>
      </c>
      <c r="I80" s="2">
        <v>1</v>
      </c>
      <c r="J80" s="2">
        <v>2</v>
      </c>
      <c r="K80" s="2">
        <v>3</v>
      </c>
      <c r="L80" s="2">
        <v>3</v>
      </c>
      <c r="M80" s="2">
        <v>4</v>
      </c>
      <c r="N80" s="2">
        <v>6</v>
      </c>
    </row>
    <row r="81" spans="1:14" x14ac:dyDescent="0.25">
      <c r="C81" s="2">
        <v>6</v>
      </c>
      <c r="D81" s="2">
        <v>5</v>
      </c>
      <c r="E81" s="2">
        <v>6</v>
      </c>
      <c r="F81" s="2">
        <v>9</v>
      </c>
      <c r="G81" s="2">
        <v>11</v>
      </c>
      <c r="H81" s="2">
        <v>9</v>
      </c>
      <c r="I81" s="2">
        <v>11</v>
      </c>
      <c r="J81" s="2">
        <v>13</v>
      </c>
      <c r="K81" s="2">
        <v>13</v>
      </c>
      <c r="L81" s="2">
        <v>14</v>
      </c>
      <c r="M81" s="2">
        <v>14</v>
      </c>
      <c r="N81" s="2">
        <v>15</v>
      </c>
    </row>
    <row r="82" spans="1:14" x14ac:dyDescent="0.25">
      <c r="A82" s="2" t="s">
        <v>81</v>
      </c>
      <c r="B82" s="2" t="s">
        <v>151</v>
      </c>
      <c r="C82" s="2">
        <v>33</v>
      </c>
      <c r="D82" s="2">
        <v>31</v>
      </c>
      <c r="E82" s="2">
        <v>28</v>
      </c>
      <c r="F82" s="2">
        <v>29</v>
      </c>
      <c r="G82" s="2">
        <v>31</v>
      </c>
      <c r="H82" s="2">
        <v>35</v>
      </c>
      <c r="I82" s="2">
        <v>37</v>
      </c>
      <c r="J82" s="2">
        <v>39</v>
      </c>
      <c r="K82" s="2">
        <v>40</v>
      </c>
      <c r="L82" s="2">
        <v>36</v>
      </c>
      <c r="M82" s="2">
        <v>34</v>
      </c>
      <c r="N82" s="2">
        <v>30</v>
      </c>
    </row>
    <row r="83" spans="1:14" x14ac:dyDescent="0.25">
      <c r="C83" s="2">
        <v>27</v>
      </c>
      <c r="D83" s="2">
        <v>25</v>
      </c>
      <c r="E83" s="2">
        <v>24</v>
      </c>
      <c r="F83" s="2">
        <v>24</v>
      </c>
      <c r="G83" s="2">
        <v>25</v>
      </c>
      <c r="H83" s="2">
        <v>27</v>
      </c>
      <c r="I83" s="2">
        <v>28</v>
      </c>
      <c r="J83" s="2">
        <v>29</v>
      </c>
      <c r="K83" s="2">
        <v>29</v>
      </c>
      <c r="L83" s="2">
        <v>25</v>
      </c>
      <c r="M83" s="2">
        <v>24</v>
      </c>
      <c r="N83" s="2">
        <v>22</v>
      </c>
    </row>
    <row r="84" spans="1:14" x14ac:dyDescent="0.25">
      <c r="A84" s="2" t="s">
        <v>81</v>
      </c>
      <c r="B84" s="2" t="s">
        <v>152</v>
      </c>
      <c r="C84" s="2">
        <v>30</v>
      </c>
      <c r="D84" s="2">
        <v>27</v>
      </c>
      <c r="E84" s="2">
        <v>25</v>
      </c>
      <c r="F84" s="2">
        <v>22</v>
      </c>
      <c r="G84" s="2">
        <v>19</v>
      </c>
      <c r="H84" s="2">
        <v>16</v>
      </c>
      <c r="I84" s="2">
        <v>19</v>
      </c>
      <c r="J84" s="2">
        <v>21</v>
      </c>
      <c r="K84" s="2">
        <v>22</v>
      </c>
      <c r="L84" s="2">
        <v>25</v>
      </c>
      <c r="M84" s="2">
        <v>25</v>
      </c>
      <c r="N84" s="2">
        <v>25</v>
      </c>
    </row>
    <row r="85" spans="1:14" x14ac:dyDescent="0.25">
      <c r="C85" s="2">
        <v>23</v>
      </c>
      <c r="D85" s="2">
        <v>22</v>
      </c>
      <c r="E85" s="2">
        <v>19</v>
      </c>
      <c r="F85" s="2">
        <v>16</v>
      </c>
      <c r="G85" s="2">
        <v>14</v>
      </c>
      <c r="H85" s="2">
        <v>14</v>
      </c>
      <c r="I85" s="2">
        <v>14</v>
      </c>
      <c r="J85" s="2">
        <v>15</v>
      </c>
      <c r="K85" s="2">
        <v>18</v>
      </c>
      <c r="L85" s="2">
        <v>17</v>
      </c>
      <c r="M85" s="2">
        <v>18</v>
      </c>
      <c r="N85" s="2">
        <v>18</v>
      </c>
    </row>
    <row r="86" spans="1:14" x14ac:dyDescent="0.25">
      <c r="A86" s="2" t="s">
        <v>82</v>
      </c>
      <c r="B86" s="2" t="s">
        <v>151</v>
      </c>
      <c r="C86" s="2">
        <v>24</v>
      </c>
      <c r="D86" s="2">
        <v>25</v>
      </c>
      <c r="E86" s="2">
        <v>24</v>
      </c>
      <c r="F86" s="2">
        <v>24</v>
      </c>
      <c r="G86" s="2">
        <v>24</v>
      </c>
      <c r="H86" s="2">
        <v>23</v>
      </c>
      <c r="I86" s="2">
        <v>20</v>
      </c>
      <c r="J86" s="2">
        <v>19</v>
      </c>
      <c r="K86" s="2">
        <v>19</v>
      </c>
      <c r="L86" s="2">
        <v>22</v>
      </c>
      <c r="M86" s="2">
        <v>20</v>
      </c>
      <c r="N86" s="2">
        <v>22</v>
      </c>
    </row>
    <row r="87" spans="1:14" x14ac:dyDescent="0.25">
      <c r="C87" s="2">
        <v>22</v>
      </c>
      <c r="D87" s="2">
        <v>23</v>
      </c>
      <c r="E87" s="2">
        <v>24</v>
      </c>
      <c r="F87" s="2">
        <v>24</v>
      </c>
      <c r="G87" s="2">
        <v>23</v>
      </c>
      <c r="H87" s="2">
        <v>22</v>
      </c>
      <c r="I87" s="2">
        <v>21</v>
      </c>
      <c r="J87" s="2">
        <v>22</v>
      </c>
      <c r="K87" s="2">
        <v>18</v>
      </c>
      <c r="L87" s="2">
        <v>19</v>
      </c>
      <c r="M87" s="2">
        <v>21</v>
      </c>
      <c r="N87" s="2">
        <v>22</v>
      </c>
    </row>
    <row r="88" spans="1:14" x14ac:dyDescent="0.25">
      <c r="A88" s="2" t="s">
        <v>82</v>
      </c>
      <c r="B88" s="2" t="s">
        <v>152</v>
      </c>
      <c r="C88" s="2">
        <v>16</v>
      </c>
      <c r="D88" s="2">
        <v>15</v>
      </c>
      <c r="E88" s="2">
        <v>18</v>
      </c>
      <c r="F88" s="2">
        <v>16</v>
      </c>
      <c r="G88" s="2">
        <v>15</v>
      </c>
      <c r="H88" s="2">
        <v>14</v>
      </c>
      <c r="I88" s="2">
        <v>15</v>
      </c>
      <c r="J88" s="2">
        <v>13</v>
      </c>
      <c r="K88" s="2">
        <v>13</v>
      </c>
      <c r="L88" s="2">
        <v>14</v>
      </c>
      <c r="M88" s="2">
        <v>17</v>
      </c>
      <c r="N88" s="2">
        <v>15</v>
      </c>
    </row>
    <row r="89" spans="1:14" x14ac:dyDescent="0.25">
      <c r="C89" s="2">
        <v>16</v>
      </c>
      <c r="D89" s="2">
        <v>17</v>
      </c>
      <c r="E89" s="2">
        <v>15</v>
      </c>
      <c r="F89" s="2">
        <v>17</v>
      </c>
      <c r="G89" s="2">
        <v>18</v>
      </c>
      <c r="H89" s="2">
        <v>15</v>
      </c>
      <c r="I89" s="2">
        <v>14</v>
      </c>
      <c r="J89" s="2">
        <v>14</v>
      </c>
      <c r="K89" s="2">
        <v>12</v>
      </c>
      <c r="L89" s="2">
        <v>14</v>
      </c>
      <c r="M89" s="2">
        <v>15</v>
      </c>
      <c r="N89" s="2">
        <v>14</v>
      </c>
    </row>
  </sheetData>
  <pageMargins left="0.78740157499999996" right="0.78740157499999996" top="0.984251969" bottom="0.984251969" header="0.4921259845" footer="0.4921259845"/>
  <pageSetup paperSize="9" scale="44" orientation="landscape" horizontalDpi="1200" verticalDpi="12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Historique">
                <anchor moveWithCells="1" sizeWithCells="1">
                  <from>
                    <xdr:col>15</xdr:col>
                    <xdr:colOff>220980</xdr:colOff>
                    <xdr:row>44</xdr:row>
                    <xdr:rowOff>38100</xdr:rowOff>
                  </from>
                  <to>
                    <xdr:col>19</xdr:col>
                    <xdr:colOff>198120</xdr:colOff>
                    <xdr:row>46</xdr:row>
                    <xdr:rowOff>83820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2E1B4-0FBF-436B-BC57-22502393504C}">
  <dimension ref="B3:S26"/>
  <sheetViews>
    <sheetView workbookViewId="0">
      <selection activeCell="AI11" sqref="AI11"/>
    </sheetView>
  </sheetViews>
  <sheetFormatPr baseColWidth="10" defaultColWidth="5.88671875" defaultRowHeight="13.2" x14ac:dyDescent="0.25"/>
  <cols>
    <col min="1" max="1" width="8.33203125" style="2" bestFit="1" customWidth="1"/>
    <col min="2" max="2" width="5.88671875" style="2" customWidth="1"/>
    <col min="3" max="3" width="12.6640625" style="2" customWidth="1"/>
    <col min="4" max="21" width="5.88671875" style="2" customWidth="1"/>
    <col min="22" max="22" width="5.6640625" style="2" customWidth="1"/>
    <col min="23" max="16384" width="5.88671875" style="2"/>
  </cols>
  <sheetData>
    <row r="3" spans="2:19" x14ac:dyDescent="0.25">
      <c r="C3" s="14" t="s">
        <v>53</v>
      </c>
      <c r="D3" s="14"/>
      <c r="E3" s="14" t="s">
        <v>168</v>
      </c>
      <c r="F3" s="14" t="s">
        <v>169</v>
      </c>
      <c r="G3" s="14" t="s">
        <v>170</v>
      </c>
      <c r="H3" s="14" t="s">
        <v>171</v>
      </c>
      <c r="I3" s="14" t="s">
        <v>172</v>
      </c>
    </row>
    <row r="4" spans="2:19" x14ac:dyDescent="0.25">
      <c r="C4" s="14"/>
      <c r="D4" s="14"/>
      <c r="E4" s="14"/>
      <c r="F4" s="14"/>
      <c r="G4" s="14"/>
      <c r="H4" s="14"/>
      <c r="I4" s="14"/>
    </row>
    <row r="5" spans="2:19" x14ac:dyDescent="0.25">
      <c r="C5" s="3" t="s">
        <v>168</v>
      </c>
      <c r="D5" s="14"/>
      <c r="E5" s="14"/>
      <c r="F5" s="14">
        <v>700</v>
      </c>
      <c r="G5" s="3">
        <v>400</v>
      </c>
      <c r="H5" s="3">
        <v>300</v>
      </c>
      <c r="I5" s="14">
        <v>800</v>
      </c>
    </row>
    <row r="6" spans="2:19" x14ac:dyDescent="0.25">
      <c r="C6" s="3" t="s">
        <v>169</v>
      </c>
      <c r="D6" s="14"/>
      <c r="E6" s="14">
        <v>700</v>
      </c>
      <c r="F6" s="14"/>
      <c r="G6" s="3">
        <v>600</v>
      </c>
      <c r="H6" s="14">
        <v>500</v>
      </c>
      <c r="I6" s="14">
        <v>900</v>
      </c>
    </row>
    <row r="7" spans="2:19" x14ac:dyDescent="0.25">
      <c r="C7" s="3" t="s">
        <v>170</v>
      </c>
      <c r="D7" s="14"/>
      <c r="E7" s="14">
        <v>400</v>
      </c>
      <c r="F7" s="14">
        <v>600</v>
      </c>
      <c r="G7" s="14"/>
      <c r="H7" s="14">
        <v>200</v>
      </c>
      <c r="I7" s="14">
        <v>300</v>
      </c>
    </row>
    <row r="8" spans="2:19" x14ac:dyDescent="0.25">
      <c r="C8" s="3" t="s">
        <v>171</v>
      </c>
      <c r="D8" s="14"/>
      <c r="E8" s="14">
        <v>300</v>
      </c>
      <c r="F8" s="14">
        <v>500</v>
      </c>
      <c r="G8" s="3">
        <v>200</v>
      </c>
      <c r="H8" s="14"/>
      <c r="I8" s="14">
        <v>100</v>
      </c>
    </row>
    <row r="9" spans="2:19" x14ac:dyDescent="0.25">
      <c r="C9" s="3" t="s">
        <v>172</v>
      </c>
      <c r="D9" s="14"/>
      <c r="E9" s="14">
        <v>800</v>
      </c>
      <c r="F9" s="14">
        <v>900</v>
      </c>
      <c r="G9" s="14">
        <v>300</v>
      </c>
      <c r="H9" s="14">
        <v>100</v>
      </c>
      <c r="I9" s="14"/>
    </row>
    <row r="10" spans="2:19" x14ac:dyDescent="0.25">
      <c r="C10" s="1"/>
      <c r="D10" s="1"/>
    </row>
    <row r="12" spans="2:19" x14ac:dyDescent="0.25">
      <c r="E12" s="2">
        <v>1</v>
      </c>
      <c r="F12" s="2">
        <v>2</v>
      </c>
      <c r="G12" s="2">
        <v>3</v>
      </c>
      <c r="H12" s="2">
        <v>4</v>
      </c>
      <c r="I12" s="2">
        <v>5</v>
      </c>
      <c r="J12" s="2">
        <v>6</v>
      </c>
      <c r="K12" s="2">
        <v>7</v>
      </c>
      <c r="L12" s="2">
        <v>8</v>
      </c>
      <c r="M12" s="2">
        <v>9</v>
      </c>
      <c r="N12" s="2">
        <v>10</v>
      </c>
      <c r="O12" s="2">
        <v>11</v>
      </c>
      <c r="P12" s="2">
        <v>12</v>
      </c>
      <c r="Q12" s="2">
        <v>13</v>
      </c>
      <c r="R12" s="2">
        <v>14</v>
      </c>
      <c r="S12" s="2">
        <v>15</v>
      </c>
    </row>
    <row r="13" spans="2:19" ht="72.599999999999994" x14ac:dyDescent="0.25">
      <c r="C13" s="14" t="s">
        <v>53</v>
      </c>
      <c r="D13" s="14"/>
      <c r="E13" s="25" t="s">
        <v>14</v>
      </c>
      <c r="F13" s="25" t="s">
        <v>39</v>
      </c>
      <c r="G13" s="25" t="s">
        <v>65</v>
      </c>
      <c r="H13" s="25" t="s">
        <v>74</v>
      </c>
      <c r="I13" s="25" t="s">
        <v>75</v>
      </c>
      <c r="J13" s="25" t="s">
        <v>76</v>
      </c>
      <c r="K13" s="25" t="s">
        <v>77</v>
      </c>
      <c r="L13" s="25" t="s">
        <v>78</v>
      </c>
      <c r="M13" s="25" t="s">
        <v>79</v>
      </c>
      <c r="N13" s="25" t="s">
        <v>80</v>
      </c>
      <c r="O13" s="25" t="s">
        <v>81</v>
      </c>
      <c r="P13" s="25" t="s">
        <v>82</v>
      </c>
      <c r="R13" s="24" t="s">
        <v>173</v>
      </c>
      <c r="S13" s="24" t="s">
        <v>174</v>
      </c>
    </row>
    <row r="14" spans="2:19" x14ac:dyDescent="0.25">
      <c r="C14" s="3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R14" s="14"/>
      <c r="S14" s="14"/>
    </row>
    <row r="15" spans="2:19" ht="15.6" x14ac:dyDescent="0.3">
      <c r="B15" s="2">
        <v>1</v>
      </c>
      <c r="C15" s="14" t="s">
        <v>14</v>
      </c>
      <c r="D15" s="14"/>
      <c r="E15" s="14"/>
      <c r="F15" s="14">
        <v>637</v>
      </c>
      <c r="G15" s="14">
        <v>509</v>
      </c>
      <c r="H15" s="14">
        <v>1771</v>
      </c>
      <c r="I15" s="14">
        <v>1764</v>
      </c>
      <c r="J15" s="14">
        <v>979</v>
      </c>
      <c r="K15" s="14">
        <v>1577</v>
      </c>
      <c r="L15" s="14">
        <v>2197</v>
      </c>
      <c r="M15" s="14">
        <v>1301</v>
      </c>
      <c r="N15" s="14">
        <v>2597</v>
      </c>
      <c r="O15" s="14">
        <v>1134</v>
      </c>
      <c r="P15" s="14">
        <v>597</v>
      </c>
      <c r="R15" s="26">
        <v>192</v>
      </c>
      <c r="S15" s="26">
        <v>262.5</v>
      </c>
    </row>
    <row r="16" spans="2:19" ht="15.6" x14ac:dyDescent="0.3">
      <c r="B16" s="2">
        <v>2</v>
      </c>
      <c r="C16" s="14" t="s">
        <v>39</v>
      </c>
      <c r="D16" s="14"/>
      <c r="E16" s="14">
        <v>637</v>
      </c>
      <c r="F16" s="14"/>
      <c r="G16" s="14">
        <v>360</v>
      </c>
      <c r="H16" s="14">
        <v>2282</v>
      </c>
      <c r="I16" s="14">
        <v>1527</v>
      </c>
      <c r="J16" s="14">
        <v>484</v>
      </c>
      <c r="K16" s="14">
        <v>1081</v>
      </c>
      <c r="L16" s="14">
        <v>2120</v>
      </c>
      <c r="M16" s="14">
        <v>1224</v>
      </c>
      <c r="N16" s="14">
        <v>3106</v>
      </c>
      <c r="O16" s="14">
        <v>1504</v>
      </c>
      <c r="P16" s="14">
        <v>967</v>
      </c>
      <c r="R16" s="26">
        <v>186.75</v>
      </c>
      <c r="S16" s="26">
        <v>346.5</v>
      </c>
    </row>
    <row r="17" spans="2:19" ht="15.6" x14ac:dyDescent="0.3">
      <c r="B17" s="2">
        <v>3</v>
      </c>
      <c r="C17" s="14" t="s">
        <v>65</v>
      </c>
      <c r="D17" s="3"/>
      <c r="E17" s="3">
        <v>509</v>
      </c>
      <c r="F17" s="3">
        <v>360</v>
      </c>
      <c r="G17" s="14"/>
      <c r="H17" s="14">
        <v>2266</v>
      </c>
      <c r="I17" s="14">
        <v>1274</v>
      </c>
      <c r="J17" s="14">
        <v>844</v>
      </c>
      <c r="K17" s="14">
        <v>1423</v>
      </c>
      <c r="L17" s="14">
        <v>2284</v>
      </c>
      <c r="M17" s="14">
        <v>1495</v>
      </c>
      <c r="N17" s="14">
        <v>3092</v>
      </c>
      <c r="O17" s="14">
        <v>1603</v>
      </c>
      <c r="P17" s="14">
        <v>1408</v>
      </c>
      <c r="R17" s="26">
        <v>318.75</v>
      </c>
      <c r="S17" s="26">
        <v>346.5</v>
      </c>
    </row>
    <row r="18" spans="2:19" ht="15.6" x14ac:dyDescent="0.3">
      <c r="B18" s="2">
        <v>4</v>
      </c>
      <c r="C18" s="14" t="s">
        <v>74</v>
      </c>
      <c r="D18" s="14"/>
      <c r="E18" s="14">
        <v>1771</v>
      </c>
      <c r="F18" s="14">
        <v>2282</v>
      </c>
      <c r="G18" s="14">
        <v>2266</v>
      </c>
      <c r="H18" s="14"/>
      <c r="I18" s="14">
        <v>3528</v>
      </c>
      <c r="J18" s="14">
        <v>2481</v>
      </c>
      <c r="K18" s="14">
        <v>3115</v>
      </c>
      <c r="L18" s="14">
        <v>3020</v>
      </c>
      <c r="M18" s="14">
        <v>2193</v>
      </c>
      <c r="N18" s="14">
        <v>832</v>
      </c>
      <c r="O18" s="14">
        <v>1308</v>
      </c>
      <c r="P18" s="14">
        <v>1483</v>
      </c>
      <c r="R18" s="26">
        <v>471.75</v>
      </c>
      <c r="S18" s="26">
        <v>165</v>
      </c>
    </row>
    <row r="19" spans="2:19" ht="15.6" x14ac:dyDescent="0.3">
      <c r="B19" s="2">
        <v>5</v>
      </c>
      <c r="C19" s="14" t="s">
        <v>75</v>
      </c>
      <c r="D19" s="14"/>
      <c r="E19" s="14">
        <v>1764</v>
      </c>
      <c r="F19" s="14">
        <v>1527</v>
      </c>
      <c r="G19" s="14">
        <v>1274</v>
      </c>
      <c r="H19" s="14">
        <v>3528</v>
      </c>
      <c r="I19" s="14"/>
      <c r="J19" s="14">
        <v>1564</v>
      </c>
      <c r="K19" s="14">
        <v>1967</v>
      </c>
      <c r="L19" s="14">
        <v>3187</v>
      </c>
      <c r="M19" s="14">
        <v>2541</v>
      </c>
      <c r="N19" s="14">
        <v>4357</v>
      </c>
      <c r="O19" s="14">
        <v>2879</v>
      </c>
      <c r="P19" s="14">
        <v>2324</v>
      </c>
      <c r="R19" s="26">
        <v>251.25</v>
      </c>
      <c r="S19" s="26">
        <v>419.25</v>
      </c>
    </row>
    <row r="20" spans="2:19" ht="15.6" x14ac:dyDescent="0.3">
      <c r="B20" s="2">
        <v>6</v>
      </c>
      <c r="C20" s="14" t="s">
        <v>76</v>
      </c>
      <c r="D20" s="14"/>
      <c r="E20" s="14">
        <v>979</v>
      </c>
      <c r="F20" s="14">
        <v>484</v>
      </c>
      <c r="G20" s="14">
        <v>844</v>
      </c>
      <c r="H20" s="14">
        <v>2481</v>
      </c>
      <c r="I20" s="14">
        <v>1564</v>
      </c>
      <c r="J20" s="14"/>
      <c r="K20" s="14">
        <v>584</v>
      </c>
      <c r="L20" s="14">
        <v>1628</v>
      </c>
      <c r="M20" s="14">
        <v>982</v>
      </c>
      <c r="N20" s="14">
        <v>3305</v>
      </c>
      <c r="O20" s="14">
        <v>1564</v>
      </c>
      <c r="P20" s="14">
        <v>1028</v>
      </c>
      <c r="R20" s="26">
        <v>400</v>
      </c>
      <c r="S20" s="26">
        <v>370</v>
      </c>
    </row>
    <row r="21" spans="2:19" ht="15.6" x14ac:dyDescent="0.3">
      <c r="B21" s="2">
        <v>7</v>
      </c>
      <c r="C21" s="14" t="s">
        <v>77</v>
      </c>
      <c r="D21" s="3"/>
      <c r="E21" s="3">
        <v>1577</v>
      </c>
      <c r="F21" s="3">
        <v>1081</v>
      </c>
      <c r="G21" s="14">
        <v>1423</v>
      </c>
      <c r="H21" s="14">
        <v>3115</v>
      </c>
      <c r="I21" s="14">
        <v>1967</v>
      </c>
      <c r="J21" s="14">
        <v>584</v>
      </c>
      <c r="K21" s="14"/>
      <c r="L21" s="14">
        <v>1895</v>
      </c>
      <c r="M21" s="14">
        <v>1249</v>
      </c>
      <c r="N21" s="14">
        <v>3772</v>
      </c>
      <c r="O21" s="14">
        <v>1815</v>
      </c>
      <c r="P21" s="14">
        <v>1523</v>
      </c>
      <c r="R21" s="26">
        <v>318.75</v>
      </c>
      <c r="S21" s="26">
        <v>263.25</v>
      </c>
    </row>
    <row r="22" spans="2:19" ht="15.6" x14ac:dyDescent="0.3">
      <c r="B22" s="2">
        <v>8</v>
      </c>
      <c r="C22" s="14" t="s">
        <v>78</v>
      </c>
      <c r="D22" s="14"/>
      <c r="E22" s="14">
        <v>2197</v>
      </c>
      <c r="F22" s="14">
        <v>2120</v>
      </c>
      <c r="G22" s="14">
        <v>2284</v>
      </c>
      <c r="H22" s="14">
        <v>3020</v>
      </c>
      <c r="I22" s="14">
        <v>3187</v>
      </c>
      <c r="J22" s="14">
        <v>1628</v>
      </c>
      <c r="K22" s="14">
        <v>1895</v>
      </c>
      <c r="L22" s="14"/>
      <c r="M22" s="14">
        <v>796</v>
      </c>
      <c r="N22" s="14">
        <v>3318</v>
      </c>
      <c r="O22" s="14">
        <v>1189</v>
      </c>
      <c r="P22" s="14">
        <v>1660</v>
      </c>
      <c r="R22" s="26">
        <v>29.25</v>
      </c>
      <c r="S22" s="26">
        <v>399.75</v>
      </c>
    </row>
    <row r="23" spans="2:19" ht="15.6" x14ac:dyDescent="0.3">
      <c r="B23" s="2">
        <v>9</v>
      </c>
      <c r="C23" s="14" t="s">
        <v>79</v>
      </c>
      <c r="D23" s="14"/>
      <c r="E23" s="14">
        <v>1301</v>
      </c>
      <c r="F23" s="14">
        <v>1224</v>
      </c>
      <c r="G23" s="14">
        <v>1495</v>
      </c>
      <c r="H23" s="14">
        <v>2193</v>
      </c>
      <c r="I23" s="14">
        <v>2541</v>
      </c>
      <c r="J23" s="14">
        <v>982</v>
      </c>
      <c r="K23" s="14">
        <v>1249</v>
      </c>
      <c r="L23" s="14">
        <v>796</v>
      </c>
      <c r="M23" s="14"/>
      <c r="N23" s="14">
        <v>2813</v>
      </c>
      <c r="O23" s="14">
        <v>696</v>
      </c>
      <c r="P23" s="14">
        <v>871</v>
      </c>
      <c r="R23" s="26">
        <v>80.25</v>
      </c>
      <c r="S23" s="26">
        <v>418.5</v>
      </c>
    </row>
    <row r="24" spans="2:19" ht="15.6" x14ac:dyDescent="0.3">
      <c r="B24" s="2">
        <v>10</v>
      </c>
      <c r="C24" s="14" t="s">
        <v>80</v>
      </c>
      <c r="D24" s="3"/>
      <c r="E24" s="3">
        <v>2597</v>
      </c>
      <c r="F24" s="3">
        <v>3106</v>
      </c>
      <c r="G24" s="14">
        <v>3092</v>
      </c>
      <c r="H24" s="14">
        <v>832</v>
      </c>
      <c r="I24" s="14">
        <v>4357</v>
      </c>
      <c r="J24" s="14">
        <v>3305</v>
      </c>
      <c r="K24" s="14">
        <v>3772</v>
      </c>
      <c r="L24" s="14">
        <v>3318</v>
      </c>
      <c r="M24" s="14">
        <v>2813</v>
      </c>
      <c r="N24" s="14"/>
      <c r="O24" s="14">
        <v>1952</v>
      </c>
      <c r="P24" s="14">
        <v>2309</v>
      </c>
      <c r="R24" s="26">
        <v>350</v>
      </c>
      <c r="S24" s="26">
        <v>470</v>
      </c>
    </row>
    <row r="25" spans="2:19" ht="15.6" x14ac:dyDescent="0.3">
      <c r="B25" s="2">
        <v>11</v>
      </c>
      <c r="C25" s="14" t="s">
        <v>81</v>
      </c>
      <c r="D25" s="3"/>
      <c r="E25" s="3">
        <v>1134</v>
      </c>
      <c r="F25" s="3">
        <v>1504</v>
      </c>
      <c r="G25" s="14">
        <v>1603</v>
      </c>
      <c r="H25" s="14">
        <v>1308</v>
      </c>
      <c r="I25" s="14">
        <v>2879</v>
      </c>
      <c r="J25" s="14">
        <v>1564</v>
      </c>
      <c r="K25" s="14">
        <v>1815</v>
      </c>
      <c r="L25" s="14">
        <v>1189</v>
      </c>
      <c r="M25" s="14">
        <v>696</v>
      </c>
      <c r="N25" s="14">
        <v>1952</v>
      </c>
      <c r="O25" s="14"/>
      <c r="P25" s="14">
        <v>561</v>
      </c>
      <c r="R25" s="26">
        <v>237</v>
      </c>
      <c r="S25" s="26">
        <v>263.25</v>
      </c>
    </row>
    <row r="26" spans="2:19" ht="15.6" x14ac:dyDescent="0.3">
      <c r="B26" s="2">
        <v>12</v>
      </c>
      <c r="C26" s="14" t="s">
        <v>82</v>
      </c>
      <c r="D26" s="3"/>
      <c r="E26" s="3">
        <v>597</v>
      </c>
      <c r="F26" s="3">
        <v>967</v>
      </c>
      <c r="G26" s="14">
        <v>1408</v>
      </c>
      <c r="H26" s="14">
        <v>1483</v>
      </c>
      <c r="I26" s="14">
        <v>2324</v>
      </c>
      <c r="J26" s="14">
        <v>1028</v>
      </c>
      <c r="K26" s="14">
        <v>1523</v>
      </c>
      <c r="L26" s="14">
        <v>1660</v>
      </c>
      <c r="M26" s="14">
        <v>871</v>
      </c>
      <c r="N26" s="14">
        <v>2309</v>
      </c>
      <c r="O26" s="14">
        <v>561</v>
      </c>
      <c r="P26" s="14"/>
      <c r="R26" s="26">
        <v>156</v>
      </c>
      <c r="S26" s="14">
        <v>326.25</v>
      </c>
    </row>
  </sheetData>
  <pageMargins left="0.78740157499999996" right="0.78740157499999996" top="0.984251969" bottom="0.984251969" header="0.4921259845" footer="0.4921259845"/>
  <pageSetup paperSize="9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C7699-21A8-4B07-8C05-67492267A8CA}">
  <dimension ref="B2:J45"/>
  <sheetViews>
    <sheetView topLeftCell="A22" workbookViewId="0">
      <selection activeCell="A95" sqref="A95"/>
    </sheetView>
  </sheetViews>
  <sheetFormatPr baseColWidth="10" defaultColWidth="16.6640625" defaultRowHeight="13.2" x14ac:dyDescent="0.25"/>
  <cols>
    <col min="1" max="1" width="16.6640625" style="2" customWidth="1"/>
    <col min="2" max="2" width="30" style="22" customWidth="1"/>
    <col min="3" max="3" width="1.6640625" style="2" customWidth="1"/>
    <col min="4" max="6" width="7.6640625" style="2" customWidth="1"/>
    <col min="7" max="7" width="1.6640625" style="2" customWidth="1"/>
    <col min="8" max="10" width="7.6640625" style="2" customWidth="1"/>
    <col min="11" max="11" width="1.6640625" style="2" customWidth="1"/>
    <col min="12" max="14" width="7.6640625" style="2" customWidth="1"/>
    <col min="15" max="15" width="1.6640625" style="2" customWidth="1"/>
    <col min="16" max="17" width="7.6640625" style="2" customWidth="1"/>
    <col min="18" max="18" width="9.33203125" style="2" customWidth="1"/>
    <col min="19" max="16384" width="16.6640625" style="2"/>
  </cols>
  <sheetData>
    <row r="2" spans="2:10" x14ac:dyDescent="0.25">
      <c r="B2" s="2"/>
    </row>
    <row r="3" spans="2:10" x14ac:dyDescent="0.25">
      <c r="B3" s="2"/>
    </row>
    <row r="4" spans="2:10" x14ac:dyDescent="0.25">
      <c r="B4" s="2"/>
    </row>
    <row r="5" spans="2:10" x14ac:dyDescent="0.25">
      <c r="B5" s="2"/>
    </row>
    <row r="6" spans="2:10" x14ac:dyDescent="0.25">
      <c r="B6" s="2"/>
    </row>
    <row r="7" spans="2:10" x14ac:dyDescent="0.25">
      <c r="B7" s="2"/>
    </row>
    <row r="8" spans="2:10" x14ac:dyDescent="0.25">
      <c r="B8" s="2"/>
    </row>
    <row r="9" spans="2:10" x14ac:dyDescent="0.25">
      <c r="B9" s="2"/>
    </row>
    <row r="10" spans="2:10" x14ac:dyDescent="0.25">
      <c r="B10" s="2"/>
    </row>
    <row r="11" spans="2:10" x14ac:dyDescent="0.25">
      <c r="B11" s="2"/>
    </row>
    <row r="12" spans="2:10" x14ac:dyDescent="0.25">
      <c r="B12" s="2"/>
      <c r="D12" s="27" t="s">
        <v>14</v>
      </c>
      <c r="E12" s="28"/>
      <c r="F12" s="29"/>
      <c r="H12" s="27" t="s">
        <v>39</v>
      </c>
      <c r="I12" s="28"/>
      <c r="J12" s="29"/>
    </row>
    <row r="13" spans="2:10" x14ac:dyDescent="0.25">
      <c r="D13" s="27" t="s">
        <v>175</v>
      </c>
      <c r="E13" s="28"/>
      <c r="F13" s="28"/>
      <c r="G13" s="30"/>
      <c r="H13" s="28"/>
      <c r="I13" s="28"/>
      <c r="J13" s="29"/>
    </row>
    <row r="14" spans="2:10" ht="27" thickBot="1" x14ac:dyDescent="0.3">
      <c r="D14" s="31" t="s">
        <v>176</v>
      </c>
      <c r="E14" s="31" t="s">
        <v>177</v>
      </c>
      <c r="F14" s="31" t="s">
        <v>178</v>
      </c>
      <c r="H14" s="31" t="s">
        <v>176</v>
      </c>
      <c r="I14" s="31" t="s">
        <v>177</v>
      </c>
      <c r="J14" s="31" t="s">
        <v>178</v>
      </c>
    </row>
    <row r="15" spans="2:10" ht="14.4" thickTop="1" thickBot="1" x14ac:dyDescent="0.3">
      <c r="B15" s="24" t="s">
        <v>16</v>
      </c>
      <c r="D15" s="32">
        <v>30</v>
      </c>
      <c r="E15" s="33">
        <f>F15/D15</f>
        <v>600</v>
      </c>
      <c r="F15" s="14">
        <f>SUM(F16:F22)</f>
        <v>18000</v>
      </c>
      <c r="H15" s="34"/>
      <c r="I15" s="34"/>
      <c r="J15" s="34"/>
    </row>
    <row r="16" spans="2:10" ht="14.4" thickTop="1" thickBot="1" x14ac:dyDescent="0.3">
      <c r="B16" s="24" t="s">
        <v>37</v>
      </c>
      <c r="D16" s="34"/>
      <c r="E16" s="34"/>
      <c r="F16" s="34"/>
      <c r="H16" s="32">
        <v>20</v>
      </c>
      <c r="I16" s="33">
        <f>J16/H16</f>
        <v>950</v>
      </c>
      <c r="J16" s="14">
        <f>SUM(J17:J22)</f>
        <v>19000</v>
      </c>
    </row>
    <row r="17" spans="2:10" ht="13.8" thickTop="1" x14ac:dyDescent="0.25">
      <c r="B17" s="24" t="s">
        <v>17</v>
      </c>
      <c r="D17" s="14">
        <v>1</v>
      </c>
      <c r="E17" s="14">
        <f>E25</f>
        <v>16500</v>
      </c>
      <c r="F17" s="14">
        <f>D17*E17</f>
        <v>16500</v>
      </c>
      <c r="H17" s="34"/>
      <c r="I17" s="34"/>
      <c r="J17" s="34"/>
    </row>
    <row r="18" spans="2:10" x14ac:dyDescent="0.25">
      <c r="B18" s="24" t="s">
        <v>40</v>
      </c>
      <c r="D18" s="34"/>
      <c r="E18" s="34"/>
      <c r="F18" s="34"/>
      <c r="H18" s="14">
        <v>1</v>
      </c>
      <c r="I18" s="14">
        <f>I26</f>
        <v>15500</v>
      </c>
      <c r="J18" s="14">
        <f>H18*I18</f>
        <v>15500</v>
      </c>
    </row>
    <row r="19" spans="2:10" x14ac:dyDescent="0.25">
      <c r="B19" s="24" t="s">
        <v>18</v>
      </c>
      <c r="D19" s="14">
        <v>1</v>
      </c>
      <c r="E19" s="14">
        <v>1000</v>
      </c>
      <c r="F19" s="14">
        <f>D19*E19</f>
        <v>1000</v>
      </c>
      <c r="H19" s="34"/>
      <c r="I19" s="34"/>
      <c r="J19" s="34"/>
    </row>
    <row r="20" spans="2:10" x14ac:dyDescent="0.25">
      <c r="B20" s="24" t="s">
        <v>41</v>
      </c>
      <c r="D20" s="34"/>
      <c r="E20" s="34"/>
      <c r="F20" s="34"/>
      <c r="H20" s="14">
        <v>1</v>
      </c>
      <c r="I20" s="14">
        <v>3000</v>
      </c>
      <c r="J20" s="14">
        <f>H20*I20</f>
        <v>3000</v>
      </c>
    </row>
    <row r="21" spans="2:10" x14ac:dyDescent="0.25">
      <c r="B21" s="24" t="s">
        <v>20</v>
      </c>
      <c r="D21" s="14">
        <v>1</v>
      </c>
      <c r="E21" s="14">
        <v>100</v>
      </c>
      <c r="F21" s="14">
        <f>D21*E21</f>
        <v>100</v>
      </c>
      <c r="H21" s="14">
        <v>1</v>
      </c>
      <c r="I21" s="14">
        <v>100</v>
      </c>
      <c r="J21" s="14">
        <f>H21*I21</f>
        <v>100</v>
      </c>
    </row>
    <row r="22" spans="2:10" x14ac:dyDescent="0.25">
      <c r="B22" s="24" t="s">
        <v>179</v>
      </c>
      <c r="D22" s="14">
        <v>20</v>
      </c>
      <c r="E22" s="14">
        <v>20</v>
      </c>
      <c r="F22" s="14">
        <f>D22*E22</f>
        <v>400</v>
      </c>
      <c r="H22" s="14">
        <v>20</v>
      </c>
      <c r="I22" s="14">
        <v>20</v>
      </c>
      <c r="J22" s="14">
        <f>H22*I22</f>
        <v>400</v>
      </c>
    </row>
    <row r="23" spans="2:10" x14ac:dyDescent="0.25">
      <c r="D23" s="27" t="s">
        <v>180</v>
      </c>
      <c r="E23" s="28"/>
      <c r="F23" s="28"/>
      <c r="G23" s="30"/>
      <c r="H23" s="28"/>
      <c r="I23" s="28"/>
      <c r="J23" s="29"/>
    </row>
    <row r="24" spans="2:10" ht="27" thickBot="1" x14ac:dyDescent="0.3">
      <c r="D24" s="35" t="s">
        <v>176</v>
      </c>
      <c r="E24" s="31" t="s">
        <v>177</v>
      </c>
      <c r="F24" s="35" t="s">
        <v>178</v>
      </c>
      <c r="H24" s="35" t="s">
        <v>176</v>
      </c>
      <c r="I24" s="31" t="s">
        <v>177</v>
      </c>
      <c r="J24" s="35" t="s">
        <v>178</v>
      </c>
    </row>
    <row r="25" spans="2:10" ht="14.4" thickTop="1" thickBot="1" x14ac:dyDescent="0.3">
      <c r="B25" s="24" t="s">
        <v>17</v>
      </c>
      <c r="D25" s="32">
        <v>1</v>
      </c>
      <c r="E25" s="33">
        <f>F25/D25</f>
        <v>16500</v>
      </c>
      <c r="F25" s="14">
        <f>SUM(F26:F31)</f>
        <v>16500</v>
      </c>
      <c r="H25" s="34"/>
      <c r="I25" s="34"/>
      <c r="J25" s="34"/>
    </row>
    <row r="26" spans="2:10" ht="14.4" thickTop="1" thickBot="1" x14ac:dyDescent="0.3">
      <c r="B26" s="24" t="s">
        <v>40</v>
      </c>
      <c r="D26" s="34"/>
      <c r="E26" s="34"/>
      <c r="F26" s="34"/>
      <c r="H26" s="32">
        <v>1</v>
      </c>
      <c r="I26" s="33">
        <f>J26/H26</f>
        <v>15500</v>
      </c>
      <c r="J26" s="14">
        <f>SUM(J27:J31)</f>
        <v>15500</v>
      </c>
    </row>
    <row r="27" spans="2:10" ht="13.8" thickTop="1" x14ac:dyDescent="0.25">
      <c r="B27" s="24" t="s">
        <v>181</v>
      </c>
      <c r="D27" s="14">
        <v>5</v>
      </c>
      <c r="E27" s="14">
        <f>E35</f>
        <v>2200</v>
      </c>
      <c r="F27" s="14">
        <f>D27*E27</f>
        <v>11000</v>
      </c>
      <c r="H27" s="34"/>
      <c r="I27" s="34"/>
      <c r="J27" s="34"/>
    </row>
    <row r="28" spans="2:10" x14ac:dyDescent="0.25">
      <c r="B28" s="24" t="s">
        <v>182</v>
      </c>
      <c r="D28" s="14">
        <v>1</v>
      </c>
      <c r="E28" s="14">
        <f>I36</f>
        <v>3200</v>
      </c>
      <c r="F28" s="14">
        <f>D28*E28</f>
        <v>3200</v>
      </c>
      <c r="H28" s="14">
        <v>4</v>
      </c>
      <c r="I28" s="14">
        <f>I36</f>
        <v>3200</v>
      </c>
      <c r="J28" s="14">
        <f>H28*I28</f>
        <v>12800</v>
      </c>
    </row>
    <row r="29" spans="2:10" x14ac:dyDescent="0.25">
      <c r="B29" s="24" t="s">
        <v>45</v>
      </c>
      <c r="D29" s="34"/>
      <c r="E29" s="34"/>
      <c r="F29" s="34"/>
      <c r="H29" s="14">
        <v>1</v>
      </c>
      <c r="I29" s="14">
        <v>400</v>
      </c>
      <c r="J29" s="14">
        <f>H29*I29</f>
        <v>400</v>
      </c>
    </row>
    <row r="30" spans="2:10" x14ac:dyDescent="0.25">
      <c r="B30" s="24" t="s">
        <v>20</v>
      </c>
      <c r="D30" s="14">
        <v>1</v>
      </c>
      <c r="E30" s="14">
        <v>300</v>
      </c>
      <c r="F30" s="14">
        <f>D30*E30</f>
        <v>300</v>
      </c>
      <c r="H30" s="14">
        <v>1</v>
      </c>
      <c r="I30" s="14">
        <v>300</v>
      </c>
      <c r="J30" s="14">
        <f>H30*I30</f>
        <v>300</v>
      </c>
    </row>
    <row r="31" spans="2:10" x14ac:dyDescent="0.25">
      <c r="B31" s="24" t="s">
        <v>179</v>
      </c>
      <c r="D31" s="14">
        <v>100</v>
      </c>
      <c r="E31" s="14">
        <v>20</v>
      </c>
      <c r="F31" s="14">
        <f>D31*E31</f>
        <v>2000</v>
      </c>
      <c r="H31" s="14">
        <v>100</v>
      </c>
      <c r="I31" s="14">
        <v>20</v>
      </c>
      <c r="J31" s="14">
        <f>H31*I31</f>
        <v>2000</v>
      </c>
    </row>
    <row r="33" spans="2:10" x14ac:dyDescent="0.25">
      <c r="D33" s="27" t="s">
        <v>183</v>
      </c>
      <c r="E33" s="28"/>
      <c r="F33" s="28"/>
      <c r="G33" s="30"/>
      <c r="H33" s="28"/>
      <c r="I33" s="28"/>
      <c r="J33" s="29"/>
    </row>
    <row r="34" spans="2:10" ht="27" thickBot="1" x14ac:dyDescent="0.3">
      <c r="D34" s="36" t="s">
        <v>176</v>
      </c>
      <c r="E34" s="31" t="s">
        <v>177</v>
      </c>
      <c r="F34" s="36" t="s">
        <v>178</v>
      </c>
      <c r="H34" s="36" t="s">
        <v>176</v>
      </c>
      <c r="I34" s="31" t="s">
        <v>177</v>
      </c>
      <c r="J34" s="36" t="s">
        <v>178</v>
      </c>
    </row>
    <row r="35" spans="2:10" ht="14.4" thickTop="1" thickBot="1" x14ac:dyDescent="0.3">
      <c r="B35" s="24" t="s">
        <v>181</v>
      </c>
      <c r="D35" s="32">
        <v>1</v>
      </c>
      <c r="E35" s="33">
        <f>F35/D35</f>
        <v>2200</v>
      </c>
      <c r="F35" s="14">
        <f>SUM(F37:F38)</f>
        <v>2200</v>
      </c>
      <c r="H35" s="34"/>
      <c r="I35" s="34"/>
      <c r="J35" s="34"/>
    </row>
    <row r="36" spans="2:10" ht="14.4" thickTop="1" thickBot="1" x14ac:dyDescent="0.3">
      <c r="B36" s="24" t="s">
        <v>182</v>
      </c>
      <c r="D36" s="34"/>
      <c r="E36" s="34"/>
      <c r="F36" s="34"/>
      <c r="H36" s="32">
        <v>1</v>
      </c>
      <c r="I36" s="33">
        <f>J36/H36</f>
        <v>3200</v>
      </c>
      <c r="J36" s="14">
        <f>SUM(J37:J39)</f>
        <v>3200</v>
      </c>
    </row>
    <row r="37" spans="2:10" ht="13.8" thickTop="1" x14ac:dyDescent="0.25">
      <c r="B37" s="24" t="s">
        <v>184</v>
      </c>
      <c r="D37" s="14">
        <v>1</v>
      </c>
      <c r="E37" s="14">
        <v>200</v>
      </c>
      <c r="F37" s="14">
        <f>D37*E37</f>
        <v>200</v>
      </c>
      <c r="H37" s="14">
        <v>1</v>
      </c>
      <c r="I37" s="14">
        <v>200</v>
      </c>
      <c r="J37" s="14">
        <f>H37*I37</f>
        <v>200</v>
      </c>
    </row>
    <row r="38" spans="2:10" x14ac:dyDescent="0.25">
      <c r="B38" s="24" t="s">
        <v>185</v>
      </c>
      <c r="D38" s="14">
        <v>1</v>
      </c>
      <c r="E38" s="32">
        <v>2000</v>
      </c>
      <c r="F38" s="14">
        <f>D38*E38</f>
        <v>2000</v>
      </c>
      <c r="H38" s="34"/>
      <c r="I38" s="34"/>
      <c r="J38" s="34"/>
    </row>
    <row r="39" spans="2:10" x14ac:dyDescent="0.25">
      <c r="B39" s="24" t="s">
        <v>186</v>
      </c>
      <c r="D39" s="34"/>
      <c r="E39" s="34"/>
      <c r="F39" s="34"/>
      <c r="H39" s="14">
        <v>1</v>
      </c>
      <c r="I39" s="32">
        <v>3000</v>
      </c>
      <c r="J39" s="14">
        <f>H39*I39</f>
        <v>3000</v>
      </c>
    </row>
    <row r="41" spans="2:10" x14ac:dyDescent="0.25">
      <c r="B41" s="24"/>
      <c r="C41" s="37"/>
      <c r="D41" s="27" t="s">
        <v>48</v>
      </c>
      <c r="E41" s="28"/>
      <c r="F41" s="29"/>
    </row>
    <row r="42" spans="2:10" ht="27" thickBot="1" x14ac:dyDescent="0.3">
      <c r="B42" s="38"/>
      <c r="C42" s="35"/>
      <c r="D42" s="31" t="s">
        <v>176</v>
      </c>
      <c r="E42" s="31" t="s">
        <v>177</v>
      </c>
      <c r="F42" s="31" t="s">
        <v>178</v>
      </c>
    </row>
    <row r="43" spans="2:10" ht="14.4" thickTop="1" thickBot="1" x14ac:dyDescent="0.3">
      <c r="B43" s="24" t="s">
        <v>187</v>
      </c>
      <c r="C43" s="39"/>
      <c r="D43" s="40">
        <v>1</v>
      </c>
      <c r="E43" s="33">
        <f>F43/D43</f>
        <v>11000</v>
      </c>
      <c r="F43" s="41">
        <f>SUM(F44:F45)</f>
        <v>11000</v>
      </c>
    </row>
    <row r="44" spans="2:10" ht="13.8" thickTop="1" x14ac:dyDescent="0.25">
      <c r="B44" s="24" t="s">
        <v>20</v>
      </c>
      <c r="C44" s="14"/>
      <c r="D44" s="14">
        <v>1</v>
      </c>
      <c r="E44" s="14">
        <v>10000</v>
      </c>
      <c r="F44" s="14">
        <f>D44*E44</f>
        <v>10000</v>
      </c>
    </row>
    <row r="45" spans="2:10" x14ac:dyDescent="0.25">
      <c r="B45" s="24" t="s">
        <v>179</v>
      </c>
      <c r="C45" s="14"/>
      <c r="D45" s="14">
        <v>50</v>
      </c>
      <c r="E45" s="14">
        <v>20</v>
      </c>
      <c r="F45" s="14">
        <f>D45*E45</f>
        <v>1000</v>
      </c>
    </row>
  </sheetData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34286-4839-4576-A446-E40B89551FA3}">
  <sheetPr>
    <pageSetUpPr fitToPage="1"/>
  </sheetPr>
  <dimension ref="D8:N28"/>
  <sheetViews>
    <sheetView topLeftCell="A10" workbookViewId="0">
      <selection activeCell="A95" sqref="A95"/>
    </sheetView>
  </sheetViews>
  <sheetFormatPr baseColWidth="10" defaultColWidth="11.44140625" defaultRowHeight="13.2" x14ac:dyDescent="0.3"/>
  <cols>
    <col min="1" max="2" width="11.44140625" style="42"/>
    <col min="3" max="3" width="3" style="42" customWidth="1"/>
    <col min="4" max="5" width="11" style="42" customWidth="1"/>
    <col min="6" max="6" width="11.88671875" style="42" customWidth="1"/>
    <col min="7" max="7" width="4.88671875" style="42" customWidth="1"/>
    <col min="8" max="8" width="11" style="42" customWidth="1"/>
    <col min="9" max="9" width="8" style="42" customWidth="1"/>
    <col min="10" max="11" width="11" style="42" customWidth="1"/>
    <col min="12" max="12" width="11.88671875" style="42" customWidth="1"/>
    <col min="13" max="13" width="4.88671875" style="42" customWidth="1"/>
    <col min="14" max="14" width="11" style="42" customWidth="1"/>
    <col min="15" max="15" width="2.5546875" style="42" customWidth="1"/>
    <col min="16" max="16384" width="11.44140625" style="42"/>
  </cols>
  <sheetData>
    <row r="8" spans="4:14" ht="13.8" thickBot="1" x14ac:dyDescent="0.35"/>
    <row r="9" spans="4:14" ht="50.25" customHeight="1" thickBot="1" x14ac:dyDescent="0.35">
      <c r="F9" s="43" t="s">
        <v>188</v>
      </c>
      <c r="L9" s="43" t="s">
        <v>189</v>
      </c>
    </row>
    <row r="10" spans="4:14" ht="41.25" customHeight="1" thickBot="1" x14ac:dyDescent="0.35">
      <c r="E10" s="42" t="s">
        <v>190</v>
      </c>
      <c r="F10" s="42" t="s">
        <v>191</v>
      </c>
      <c r="H10" s="42" t="s">
        <v>192</v>
      </c>
      <c r="K10" s="42" t="s">
        <v>190</v>
      </c>
      <c r="L10" s="42" t="s">
        <v>191</v>
      </c>
      <c r="N10" s="42" t="s">
        <v>192</v>
      </c>
    </row>
    <row r="11" spans="4:14" ht="50.25" customHeight="1" thickBot="1" x14ac:dyDescent="0.35">
      <c r="E11" s="43" t="s">
        <v>193</v>
      </c>
      <c r="H11" s="43" t="s">
        <v>194</v>
      </c>
      <c r="K11" s="43" t="s">
        <v>195</v>
      </c>
      <c r="N11" s="43" t="s">
        <v>196</v>
      </c>
    </row>
    <row r="12" spans="4:14" ht="46.5" customHeight="1" thickBot="1" x14ac:dyDescent="0.35">
      <c r="D12" s="42" t="s">
        <v>197</v>
      </c>
      <c r="E12" s="42" t="s">
        <v>191</v>
      </c>
      <c r="F12" s="42" t="s">
        <v>198</v>
      </c>
      <c r="H12" s="42" t="s">
        <v>191</v>
      </c>
      <c r="J12" s="42" t="s">
        <v>199</v>
      </c>
      <c r="K12" s="42" t="s">
        <v>191</v>
      </c>
      <c r="L12" s="42" t="s">
        <v>200</v>
      </c>
      <c r="N12" s="42" t="s">
        <v>191</v>
      </c>
    </row>
    <row r="13" spans="4:14" ht="27.75" customHeight="1" thickBot="1" x14ac:dyDescent="0.35">
      <c r="D13" s="43" t="s">
        <v>201</v>
      </c>
      <c r="E13" s="44"/>
      <c r="F13" s="43" t="s">
        <v>202</v>
      </c>
      <c r="G13" s="44"/>
      <c r="J13" s="43" t="s">
        <v>203</v>
      </c>
      <c r="K13" s="44"/>
      <c r="L13" s="43" t="s">
        <v>202</v>
      </c>
      <c r="M13" s="44"/>
    </row>
    <row r="14" spans="4:14" ht="46.5" customHeight="1" thickBot="1" x14ac:dyDescent="0.35">
      <c r="D14" s="42" t="s">
        <v>204</v>
      </c>
      <c r="F14" s="42" t="s">
        <v>204</v>
      </c>
      <c r="J14" s="42" t="s">
        <v>205</v>
      </c>
      <c r="L14" s="42" t="s">
        <v>204</v>
      </c>
    </row>
    <row r="15" spans="4:14" ht="27.75" customHeight="1" thickBot="1" x14ac:dyDescent="0.35">
      <c r="D15" s="43" t="s">
        <v>206</v>
      </c>
      <c r="E15" s="44"/>
      <c r="F15" s="43" t="s">
        <v>207</v>
      </c>
      <c r="G15" s="44"/>
      <c r="K15" s="44"/>
      <c r="L15" s="43" t="s">
        <v>207</v>
      </c>
      <c r="M15" s="44"/>
    </row>
    <row r="16" spans="4:14" ht="46.5" customHeight="1" thickBot="1" x14ac:dyDescent="0.35">
      <c r="D16" s="42" t="s">
        <v>205</v>
      </c>
      <c r="F16" s="42" t="s">
        <v>205</v>
      </c>
      <c r="L16" s="42" t="s">
        <v>205</v>
      </c>
    </row>
    <row r="17" spans="4:14" ht="27.75" customHeight="1" thickBot="1" x14ac:dyDescent="0.35">
      <c r="D17" s="43" t="s">
        <v>208</v>
      </c>
      <c r="E17" s="44"/>
      <c r="F17" s="43" t="s">
        <v>208</v>
      </c>
      <c r="G17" s="44"/>
      <c r="H17" s="43" t="s">
        <v>209</v>
      </c>
      <c r="J17" s="43" t="s">
        <v>210</v>
      </c>
      <c r="K17" s="44"/>
      <c r="L17" s="43" t="s">
        <v>208</v>
      </c>
      <c r="M17" s="44"/>
      <c r="N17" s="43" t="s">
        <v>211</v>
      </c>
    </row>
    <row r="19" spans="4:14" ht="13.8" thickBot="1" x14ac:dyDescent="0.35"/>
    <row r="20" spans="4:14" ht="50.25" customHeight="1" thickBot="1" x14ac:dyDescent="0.35">
      <c r="F20" s="43" t="s">
        <v>188</v>
      </c>
      <c r="L20" s="43" t="s">
        <v>189</v>
      </c>
    </row>
    <row r="21" spans="4:14" ht="41.25" customHeight="1" thickBot="1" x14ac:dyDescent="0.35">
      <c r="E21" s="42" t="s">
        <v>212</v>
      </c>
      <c r="F21" s="42" t="s">
        <v>213</v>
      </c>
      <c r="H21" s="42" t="s">
        <v>214</v>
      </c>
      <c r="K21" s="42" t="s">
        <v>212</v>
      </c>
      <c r="L21" s="42" t="s">
        <v>213</v>
      </c>
      <c r="N21" s="42" t="s">
        <v>214</v>
      </c>
    </row>
    <row r="22" spans="4:14" ht="50.25" customHeight="1" thickBot="1" x14ac:dyDescent="0.35">
      <c r="E22" s="43" t="s">
        <v>193</v>
      </c>
      <c r="H22" s="43" t="s">
        <v>194</v>
      </c>
      <c r="K22" s="43" t="s">
        <v>195</v>
      </c>
      <c r="N22" s="43" t="s">
        <v>196</v>
      </c>
    </row>
    <row r="23" spans="4:14" ht="46.5" customHeight="1" thickBot="1" x14ac:dyDescent="0.35">
      <c r="D23" s="42" t="s">
        <v>215</v>
      </c>
      <c r="E23" s="42" t="s">
        <v>213</v>
      </c>
      <c r="F23" s="42" t="s">
        <v>216</v>
      </c>
      <c r="H23" s="42" t="s">
        <v>213</v>
      </c>
      <c r="J23" s="42" t="s">
        <v>217</v>
      </c>
      <c r="K23" s="42" t="s">
        <v>213</v>
      </c>
      <c r="L23" s="42" t="s">
        <v>218</v>
      </c>
      <c r="N23" s="42" t="s">
        <v>213</v>
      </c>
    </row>
    <row r="24" spans="4:14" ht="27.75" customHeight="1" thickBot="1" x14ac:dyDescent="0.35">
      <c r="D24" s="43" t="s">
        <v>201</v>
      </c>
      <c r="E24" s="44"/>
      <c r="F24" s="43" t="s">
        <v>202</v>
      </c>
      <c r="G24" s="44"/>
      <c r="J24" s="43" t="s">
        <v>203</v>
      </c>
      <c r="K24" s="44"/>
      <c r="L24" s="43" t="s">
        <v>202</v>
      </c>
      <c r="M24" s="44"/>
    </row>
    <row r="25" spans="4:14" ht="46.5" customHeight="1" thickBot="1" x14ac:dyDescent="0.35">
      <c r="D25" s="42" t="s">
        <v>219</v>
      </c>
      <c r="F25" s="42" t="s">
        <v>219</v>
      </c>
      <c r="J25" s="42" t="s">
        <v>219</v>
      </c>
      <c r="L25" s="42" t="s">
        <v>219</v>
      </c>
    </row>
    <row r="26" spans="4:14" ht="27.75" customHeight="1" thickBot="1" x14ac:dyDescent="0.35">
      <c r="D26" s="43" t="s">
        <v>206</v>
      </c>
      <c r="E26" s="44"/>
      <c r="F26" s="43" t="s">
        <v>207</v>
      </c>
      <c r="G26" s="44"/>
      <c r="K26" s="44"/>
      <c r="L26" s="43" t="s">
        <v>207</v>
      </c>
      <c r="M26" s="44"/>
    </row>
    <row r="27" spans="4:14" ht="46.5" customHeight="1" thickBot="1" x14ac:dyDescent="0.35">
      <c r="D27" s="42" t="s">
        <v>219</v>
      </c>
      <c r="F27" s="42" t="s">
        <v>213</v>
      </c>
      <c r="L27" s="42" t="s">
        <v>219</v>
      </c>
    </row>
    <row r="28" spans="4:14" ht="27.75" customHeight="1" thickBot="1" x14ac:dyDescent="0.35">
      <c r="D28" s="43" t="s">
        <v>208</v>
      </c>
      <c r="E28" s="44"/>
      <c r="F28" s="43" t="s">
        <v>208</v>
      </c>
      <c r="G28" s="44"/>
      <c r="H28" s="43" t="s">
        <v>209</v>
      </c>
      <c r="J28" s="43" t="s">
        <v>210</v>
      </c>
      <c r="K28" s="44"/>
      <c r="L28" s="43" t="s">
        <v>208</v>
      </c>
      <c r="M28" s="44"/>
      <c r="N28" s="43" t="s">
        <v>211</v>
      </c>
    </row>
  </sheetData>
  <pageMargins left="0.78740157499999996" right="0.78740157499999996" top="0.984251969" bottom="0.984251969" header="0.4921259845" footer="0.4921259845"/>
  <pageSetup paperSize="9" orientation="landscape" horizontalDpi="1200" verticalDpi="120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8A010-0638-4406-8DCC-E2D9CCB94D56}">
  <dimension ref="A1"/>
  <sheetViews>
    <sheetView workbookViewId="0">
      <selection activeCell="A95" sqref="A95"/>
    </sheetView>
  </sheetViews>
  <sheetFormatPr baseColWidth="10" defaultColWidth="11.44140625" defaultRowHeight="13.2" x14ac:dyDescent="0.25"/>
  <cols>
    <col min="1" max="16384" width="11.44140625" style="20"/>
  </cols>
  <sheetData/>
  <pageMargins left="0.78740157499999996" right="0.78740157499999996" top="0.984251969" bottom="0.984251969" header="0.4921259845" footer="0.492125984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A2D0C-8AF7-4355-B440-4BCF4F469B2D}">
  <dimension ref="A1:H270"/>
  <sheetViews>
    <sheetView workbookViewId="0"/>
  </sheetViews>
  <sheetFormatPr baseColWidth="10" defaultColWidth="11.44140625" defaultRowHeight="13.2" x14ac:dyDescent="0.25"/>
  <cols>
    <col min="1" max="1" width="28.5546875" style="20" bestFit="1" customWidth="1"/>
    <col min="2" max="2" width="30.5546875" style="20" bestFit="1" customWidth="1"/>
    <col min="3" max="16384" width="11.44140625" style="20"/>
  </cols>
  <sheetData>
    <row r="1" spans="1:4" x14ac:dyDescent="0.25">
      <c r="A1" s="20" t="s">
        <v>220</v>
      </c>
      <c r="B1" s="20" t="s">
        <v>221</v>
      </c>
    </row>
    <row r="3" spans="1:4" x14ac:dyDescent="0.25">
      <c r="A3" s="21" t="s">
        <v>222</v>
      </c>
      <c r="B3" s="21" t="s">
        <v>1</v>
      </c>
    </row>
    <row r="4" spans="1:4" x14ac:dyDescent="0.25">
      <c r="A4" s="20" t="s">
        <v>223</v>
      </c>
      <c r="B4" s="20" t="s">
        <v>5</v>
      </c>
    </row>
    <row r="5" spans="1:4" x14ac:dyDescent="0.25">
      <c r="A5" s="20" t="s">
        <v>224</v>
      </c>
      <c r="B5" s="45" t="s">
        <v>72</v>
      </c>
    </row>
    <row r="6" spans="1:4" x14ac:dyDescent="0.25">
      <c r="B6" s="45"/>
      <c r="D6" s="20" t="s">
        <v>225</v>
      </c>
    </row>
    <row r="7" spans="1:4" x14ac:dyDescent="0.25">
      <c r="A7" s="21" t="s">
        <v>226</v>
      </c>
      <c r="B7" s="21" t="s">
        <v>48</v>
      </c>
    </row>
    <row r="8" spans="1:4" x14ac:dyDescent="0.25">
      <c r="A8" s="20" t="s">
        <v>227</v>
      </c>
      <c r="B8" s="20" t="s">
        <v>26</v>
      </c>
    </row>
    <row r="9" spans="1:4" x14ac:dyDescent="0.25">
      <c r="A9" s="20" t="s">
        <v>228</v>
      </c>
      <c r="B9" s="20" t="s">
        <v>27</v>
      </c>
    </row>
    <row r="10" spans="1:4" x14ac:dyDescent="0.25">
      <c r="A10" s="20" t="s">
        <v>229</v>
      </c>
      <c r="B10" s="20" t="s">
        <v>31</v>
      </c>
    </row>
    <row r="11" spans="1:4" x14ac:dyDescent="0.25">
      <c r="A11" s="20" t="s">
        <v>230</v>
      </c>
      <c r="B11" s="20" t="s">
        <v>19</v>
      </c>
    </row>
    <row r="12" spans="1:4" x14ac:dyDescent="0.25">
      <c r="A12" s="20" t="s">
        <v>231</v>
      </c>
      <c r="B12" s="20" t="s">
        <v>50</v>
      </c>
    </row>
    <row r="13" spans="1:4" x14ac:dyDescent="0.25">
      <c r="A13" s="20" t="s">
        <v>232</v>
      </c>
      <c r="B13" s="20" t="s">
        <v>51</v>
      </c>
    </row>
    <row r="14" spans="1:4" x14ac:dyDescent="0.25">
      <c r="A14" s="20" t="s">
        <v>233</v>
      </c>
      <c r="B14" s="20" t="s">
        <v>20</v>
      </c>
    </row>
    <row r="15" spans="1:4" x14ac:dyDescent="0.25">
      <c r="A15" s="20" t="s">
        <v>234</v>
      </c>
      <c r="B15" s="20" t="s">
        <v>28</v>
      </c>
    </row>
    <row r="16" spans="1:4" x14ac:dyDescent="0.25">
      <c r="A16" s="20" t="s">
        <v>235</v>
      </c>
      <c r="B16" s="20" t="s">
        <v>29</v>
      </c>
    </row>
    <row r="17" spans="1:2" x14ac:dyDescent="0.25">
      <c r="A17" s="20" t="s">
        <v>236</v>
      </c>
      <c r="B17" s="20" t="s">
        <v>32</v>
      </c>
    </row>
    <row r="18" spans="1:2" x14ac:dyDescent="0.25">
      <c r="A18" s="20" t="s">
        <v>237</v>
      </c>
      <c r="B18" s="20" t="s">
        <v>35</v>
      </c>
    </row>
    <row r="19" spans="1:2" x14ac:dyDescent="0.25">
      <c r="A19" s="20" t="s">
        <v>238</v>
      </c>
      <c r="B19" s="20" t="s">
        <v>33</v>
      </c>
    </row>
    <row r="21" spans="1:2" x14ac:dyDescent="0.25">
      <c r="A21" s="21" t="s">
        <v>239</v>
      </c>
      <c r="B21" s="21" t="s">
        <v>86</v>
      </c>
    </row>
    <row r="22" spans="1:2" x14ac:dyDescent="0.25">
      <c r="A22" s="20" t="s">
        <v>240</v>
      </c>
      <c r="B22" s="20" t="s">
        <v>104</v>
      </c>
    </row>
    <row r="24" spans="1:2" x14ac:dyDescent="0.25">
      <c r="A24" s="21" t="s">
        <v>241</v>
      </c>
      <c r="B24" s="21" t="s">
        <v>88</v>
      </c>
    </row>
    <row r="25" spans="1:2" x14ac:dyDescent="0.25">
      <c r="A25" s="20" t="s">
        <v>242</v>
      </c>
      <c r="B25" s="20" t="s">
        <v>108</v>
      </c>
    </row>
    <row r="26" spans="1:2" x14ac:dyDescent="0.25">
      <c r="A26" s="20" t="s">
        <v>243</v>
      </c>
      <c r="B26" s="20" t="s">
        <v>111</v>
      </c>
    </row>
    <row r="27" spans="1:2" x14ac:dyDescent="0.25">
      <c r="A27" s="20" t="s">
        <v>244</v>
      </c>
      <c r="B27" s="20" t="s">
        <v>115</v>
      </c>
    </row>
    <row r="28" spans="1:2" x14ac:dyDescent="0.25">
      <c r="A28" s="20" t="s">
        <v>245</v>
      </c>
      <c r="B28" s="20" t="s">
        <v>118</v>
      </c>
    </row>
    <row r="29" spans="1:2" x14ac:dyDescent="0.25">
      <c r="A29" s="20" t="s">
        <v>246</v>
      </c>
      <c r="B29" s="20" t="s">
        <v>121</v>
      </c>
    </row>
    <row r="31" spans="1:2" x14ac:dyDescent="0.25">
      <c r="A31" s="21" t="s">
        <v>247</v>
      </c>
      <c r="B31" s="21" t="s">
        <v>14</v>
      </c>
    </row>
    <row r="32" spans="1:2" x14ac:dyDescent="0.25">
      <c r="A32" s="20" t="s">
        <v>248</v>
      </c>
      <c r="B32" s="20" t="s">
        <v>16</v>
      </c>
    </row>
    <row r="33" spans="1:2" x14ac:dyDescent="0.25">
      <c r="A33" s="20" t="s">
        <v>249</v>
      </c>
      <c r="B33" s="20" t="s">
        <v>17</v>
      </c>
    </row>
    <row r="34" spans="1:2" x14ac:dyDescent="0.25">
      <c r="A34" s="20" t="s">
        <v>250</v>
      </c>
      <c r="B34" s="20" t="s">
        <v>37</v>
      </c>
    </row>
    <row r="35" spans="1:2" x14ac:dyDescent="0.25">
      <c r="A35" s="20" t="s">
        <v>26</v>
      </c>
      <c r="B35" s="20" t="s">
        <v>26</v>
      </c>
    </row>
    <row r="36" spans="1:2" x14ac:dyDescent="0.25">
      <c r="A36" s="20" t="s">
        <v>27</v>
      </c>
      <c r="B36" s="20" t="s">
        <v>27</v>
      </c>
    </row>
    <row r="37" spans="1:2" x14ac:dyDescent="0.25">
      <c r="A37" s="20" t="s">
        <v>251</v>
      </c>
      <c r="B37" s="20" t="s">
        <v>18</v>
      </c>
    </row>
    <row r="38" spans="1:2" x14ac:dyDescent="0.25">
      <c r="A38" s="20" t="s">
        <v>31</v>
      </c>
      <c r="B38" s="20" t="s">
        <v>31</v>
      </c>
    </row>
    <row r="39" spans="1:2" x14ac:dyDescent="0.25">
      <c r="A39" s="20" t="s">
        <v>19</v>
      </c>
      <c r="B39" s="20" t="s">
        <v>19</v>
      </c>
    </row>
    <row r="40" spans="1:2" x14ac:dyDescent="0.25">
      <c r="A40" s="20" t="s">
        <v>20</v>
      </c>
      <c r="B40" s="20" t="s">
        <v>20</v>
      </c>
    </row>
    <row r="41" spans="1:2" x14ac:dyDescent="0.25">
      <c r="A41" s="20" t="s">
        <v>252</v>
      </c>
      <c r="B41" s="20" t="s">
        <v>22</v>
      </c>
    </row>
    <row r="42" spans="1:2" x14ac:dyDescent="0.25">
      <c r="A42" s="20" t="s">
        <v>253</v>
      </c>
      <c r="B42" s="20" t="s">
        <v>23</v>
      </c>
    </row>
    <row r="43" spans="1:2" x14ac:dyDescent="0.25">
      <c r="A43" s="20" t="s">
        <v>254</v>
      </c>
      <c r="B43" s="20" t="s">
        <v>38</v>
      </c>
    </row>
    <row r="44" spans="1:2" x14ac:dyDescent="0.25">
      <c r="A44" s="20" t="s">
        <v>28</v>
      </c>
      <c r="B44" s="20" t="s">
        <v>28</v>
      </c>
    </row>
    <row r="45" spans="1:2" x14ac:dyDescent="0.25">
      <c r="A45" s="20" t="s">
        <v>29</v>
      </c>
      <c r="B45" s="20" t="s">
        <v>29</v>
      </c>
    </row>
    <row r="46" spans="1:2" x14ac:dyDescent="0.25">
      <c r="A46" s="20" t="s">
        <v>255</v>
      </c>
      <c r="B46" s="20" t="s">
        <v>24</v>
      </c>
    </row>
    <row r="47" spans="1:2" x14ac:dyDescent="0.25">
      <c r="A47" s="20" t="s">
        <v>32</v>
      </c>
      <c r="B47" s="20" t="s">
        <v>32</v>
      </c>
    </row>
    <row r="48" spans="1:2" x14ac:dyDescent="0.25">
      <c r="A48" s="20" t="s">
        <v>35</v>
      </c>
      <c r="B48" s="20" t="s">
        <v>35</v>
      </c>
    </row>
    <row r="49" spans="1:2" x14ac:dyDescent="0.25">
      <c r="A49" s="20" t="s">
        <v>33</v>
      </c>
      <c r="B49" s="20" t="s">
        <v>33</v>
      </c>
    </row>
    <row r="51" spans="1:2" x14ac:dyDescent="0.25">
      <c r="A51" s="21" t="s">
        <v>256</v>
      </c>
      <c r="B51" s="21" t="s">
        <v>39</v>
      </c>
    </row>
    <row r="52" spans="1:2" x14ac:dyDescent="0.25">
      <c r="A52" s="20" t="s">
        <v>37</v>
      </c>
      <c r="B52" s="20" t="s">
        <v>37</v>
      </c>
    </row>
    <row r="53" spans="1:2" x14ac:dyDescent="0.25">
      <c r="A53" s="20" t="s">
        <v>257</v>
      </c>
      <c r="B53" s="20" t="s">
        <v>40</v>
      </c>
    </row>
    <row r="54" spans="1:2" x14ac:dyDescent="0.25">
      <c r="A54" s="20" t="s">
        <v>16</v>
      </c>
      <c r="B54" s="20" t="s">
        <v>16</v>
      </c>
    </row>
    <row r="55" spans="1:2" x14ac:dyDescent="0.25">
      <c r="A55" s="20" t="s">
        <v>26</v>
      </c>
      <c r="B55" s="20" t="s">
        <v>26</v>
      </c>
    </row>
    <row r="56" spans="1:2" x14ac:dyDescent="0.25">
      <c r="A56" s="20" t="s">
        <v>258</v>
      </c>
      <c r="B56" s="20" t="s">
        <v>45</v>
      </c>
    </row>
    <row r="57" spans="1:2" x14ac:dyDescent="0.25">
      <c r="A57" s="20" t="s">
        <v>259</v>
      </c>
      <c r="B57" s="20" t="s">
        <v>41</v>
      </c>
    </row>
    <row r="58" spans="1:2" x14ac:dyDescent="0.25">
      <c r="A58" s="20" t="s">
        <v>31</v>
      </c>
      <c r="B58" s="20" t="s">
        <v>31</v>
      </c>
    </row>
    <row r="59" spans="1:2" x14ac:dyDescent="0.25">
      <c r="A59" s="20" t="s">
        <v>19</v>
      </c>
      <c r="B59" s="20" t="s">
        <v>19</v>
      </c>
    </row>
    <row r="60" spans="1:2" x14ac:dyDescent="0.25">
      <c r="A60" s="20" t="s">
        <v>20</v>
      </c>
      <c r="B60" s="20" t="s">
        <v>20</v>
      </c>
    </row>
    <row r="61" spans="1:2" x14ac:dyDescent="0.25">
      <c r="A61" s="20" t="s">
        <v>260</v>
      </c>
      <c r="B61" s="20" t="s">
        <v>42</v>
      </c>
    </row>
    <row r="62" spans="1:2" x14ac:dyDescent="0.25">
      <c r="A62" s="20" t="s">
        <v>38</v>
      </c>
      <c r="B62" s="20" t="s">
        <v>38</v>
      </c>
    </row>
    <row r="63" spans="1:2" x14ac:dyDescent="0.25">
      <c r="A63" s="20" t="s">
        <v>22</v>
      </c>
      <c r="B63" s="20" t="s">
        <v>22</v>
      </c>
    </row>
    <row r="64" spans="1:2" x14ac:dyDescent="0.25">
      <c r="A64" s="20" t="s">
        <v>28</v>
      </c>
      <c r="B64" s="20" t="s">
        <v>28</v>
      </c>
    </row>
    <row r="65" spans="1:2" x14ac:dyDescent="0.25">
      <c r="A65" s="20" t="s">
        <v>261</v>
      </c>
      <c r="B65" s="20" t="s">
        <v>46</v>
      </c>
    </row>
    <row r="66" spans="1:2" x14ac:dyDescent="0.25">
      <c r="A66" s="20" t="s">
        <v>262</v>
      </c>
      <c r="B66" s="20" t="s">
        <v>43</v>
      </c>
    </row>
    <row r="67" spans="1:2" x14ac:dyDescent="0.25">
      <c r="A67" s="20" t="s">
        <v>32</v>
      </c>
      <c r="B67" s="20" t="s">
        <v>32</v>
      </c>
    </row>
    <row r="68" spans="1:2" x14ac:dyDescent="0.25">
      <c r="A68" s="20" t="s">
        <v>35</v>
      </c>
      <c r="B68" s="20" t="s">
        <v>35</v>
      </c>
    </row>
    <row r="69" spans="1:2" x14ac:dyDescent="0.25">
      <c r="A69" s="20" t="s">
        <v>33</v>
      </c>
      <c r="B69" s="20" t="s">
        <v>33</v>
      </c>
    </row>
    <row r="71" spans="1:2" x14ac:dyDescent="0.25">
      <c r="A71" s="21" t="s">
        <v>263</v>
      </c>
      <c r="B71" s="21" t="s">
        <v>52</v>
      </c>
    </row>
    <row r="72" spans="1:2" x14ac:dyDescent="0.25">
      <c r="A72" s="20" t="s">
        <v>16</v>
      </c>
      <c r="B72" s="20" t="s">
        <v>16</v>
      </c>
    </row>
    <row r="73" spans="1:2" x14ac:dyDescent="0.25">
      <c r="A73" s="20" t="s">
        <v>37</v>
      </c>
      <c r="B73" s="20" t="s">
        <v>37</v>
      </c>
    </row>
    <row r="74" spans="1:2" x14ac:dyDescent="0.25">
      <c r="A74" s="20" t="s">
        <v>264</v>
      </c>
      <c r="B74" s="20" t="s">
        <v>56</v>
      </c>
    </row>
    <row r="75" spans="1:2" x14ac:dyDescent="0.25">
      <c r="A75" s="20" t="s">
        <v>265</v>
      </c>
      <c r="B75" s="20" t="s">
        <v>57</v>
      </c>
    </row>
    <row r="76" spans="1:2" x14ac:dyDescent="0.25">
      <c r="A76" s="20" t="s">
        <v>53</v>
      </c>
      <c r="B76" s="20" t="s">
        <v>266</v>
      </c>
    </row>
    <row r="77" spans="1:2" x14ac:dyDescent="0.25">
      <c r="A77" s="20" t="s">
        <v>267</v>
      </c>
      <c r="B77" s="20" t="s">
        <v>19</v>
      </c>
    </row>
    <row r="78" spans="1:2" x14ac:dyDescent="0.25">
      <c r="A78" s="20" t="s">
        <v>268</v>
      </c>
      <c r="B78" s="20" t="s">
        <v>54</v>
      </c>
    </row>
    <row r="80" spans="1:2" x14ac:dyDescent="0.25">
      <c r="A80" s="21" t="s">
        <v>269</v>
      </c>
      <c r="B80" s="21" t="s">
        <v>63</v>
      </c>
    </row>
    <row r="81" spans="1:2" x14ac:dyDescent="0.25">
      <c r="A81" s="20" t="s">
        <v>16</v>
      </c>
      <c r="B81" s="20" t="s">
        <v>16</v>
      </c>
    </row>
    <row r="82" spans="1:2" x14ac:dyDescent="0.25">
      <c r="A82" s="20" t="s">
        <v>37</v>
      </c>
      <c r="B82" s="20" t="s">
        <v>37</v>
      </c>
    </row>
    <row r="83" spans="1:2" x14ac:dyDescent="0.25">
      <c r="A83" s="20" t="s">
        <v>56</v>
      </c>
      <c r="B83" s="20" t="s">
        <v>56</v>
      </c>
    </row>
    <row r="84" spans="1:2" x14ac:dyDescent="0.25">
      <c r="A84" s="20" t="s">
        <v>57</v>
      </c>
      <c r="B84" s="20" t="s">
        <v>57</v>
      </c>
    </row>
    <row r="85" spans="1:2" x14ac:dyDescent="0.25">
      <c r="A85" s="20" t="s">
        <v>53</v>
      </c>
      <c r="B85" s="20" t="s">
        <v>266</v>
      </c>
    </row>
    <row r="86" spans="1:2" x14ac:dyDescent="0.25">
      <c r="A86" s="20" t="s">
        <v>19</v>
      </c>
      <c r="B86" s="20" t="s">
        <v>19</v>
      </c>
    </row>
    <row r="87" spans="1:2" x14ac:dyDescent="0.25">
      <c r="A87" s="20" t="s">
        <v>54</v>
      </c>
      <c r="B87" s="20" t="s">
        <v>54</v>
      </c>
    </row>
    <row r="89" spans="1:2" x14ac:dyDescent="0.25">
      <c r="A89" s="21" t="s">
        <v>270</v>
      </c>
      <c r="B89" s="21" t="s">
        <v>64</v>
      </c>
    </row>
    <row r="90" spans="1:2" x14ac:dyDescent="0.25">
      <c r="A90" s="20" t="s">
        <v>16</v>
      </c>
      <c r="B90" s="20" t="s">
        <v>16</v>
      </c>
    </row>
    <row r="91" spans="1:2" x14ac:dyDescent="0.25">
      <c r="A91" s="20" t="s">
        <v>37</v>
      </c>
      <c r="B91" s="20" t="s">
        <v>37</v>
      </c>
    </row>
    <row r="92" spans="1:2" x14ac:dyDescent="0.25">
      <c r="A92" s="20" t="s">
        <v>56</v>
      </c>
      <c r="B92" s="20" t="s">
        <v>56</v>
      </c>
    </row>
    <row r="93" spans="1:2" x14ac:dyDescent="0.25">
      <c r="A93" s="20" t="s">
        <v>57</v>
      </c>
      <c r="B93" s="20" t="s">
        <v>57</v>
      </c>
    </row>
    <row r="94" spans="1:2" x14ac:dyDescent="0.25">
      <c r="A94" s="20" t="s">
        <v>53</v>
      </c>
      <c r="B94" s="20" t="s">
        <v>266</v>
      </c>
    </row>
    <row r="95" spans="1:2" x14ac:dyDescent="0.25">
      <c r="A95" s="20" t="s">
        <v>19</v>
      </c>
      <c r="B95" s="20" t="s">
        <v>19</v>
      </c>
    </row>
    <row r="96" spans="1:2" x14ac:dyDescent="0.25">
      <c r="A96" s="20" t="s">
        <v>54</v>
      </c>
      <c r="B96" s="20" t="s">
        <v>54</v>
      </c>
    </row>
    <row r="98" spans="1:2" x14ac:dyDescent="0.25">
      <c r="A98" s="21" t="s">
        <v>65</v>
      </c>
      <c r="B98" s="21" t="s">
        <v>65</v>
      </c>
    </row>
    <row r="99" spans="1:2" x14ac:dyDescent="0.25">
      <c r="A99" s="20" t="s">
        <v>16</v>
      </c>
      <c r="B99" s="20" t="s">
        <v>16</v>
      </c>
    </row>
    <row r="100" spans="1:2" x14ac:dyDescent="0.25">
      <c r="A100" s="20" t="s">
        <v>37</v>
      </c>
      <c r="B100" s="20" t="s">
        <v>37</v>
      </c>
    </row>
    <row r="101" spans="1:2" x14ac:dyDescent="0.25">
      <c r="A101" s="20" t="s">
        <v>271</v>
      </c>
      <c r="B101" s="45" t="s">
        <v>68</v>
      </c>
    </row>
    <row r="102" spans="1:2" x14ac:dyDescent="0.25">
      <c r="A102" s="20" t="s">
        <v>272</v>
      </c>
      <c r="B102" s="45" t="s">
        <v>72</v>
      </c>
    </row>
    <row r="103" spans="1:2" x14ac:dyDescent="0.25">
      <c r="A103" s="20" t="s">
        <v>22</v>
      </c>
      <c r="B103" s="20" t="s">
        <v>22</v>
      </c>
    </row>
    <row r="104" spans="1:2" x14ac:dyDescent="0.25">
      <c r="A104" s="20" t="s">
        <v>38</v>
      </c>
      <c r="B104" s="20" t="s">
        <v>38</v>
      </c>
    </row>
    <row r="105" spans="1:2" x14ac:dyDescent="0.25">
      <c r="A105" s="20" t="s">
        <v>273</v>
      </c>
      <c r="B105" s="20" t="s">
        <v>66</v>
      </c>
    </row>
    <row r="106" spans="1:2" x14ac:dyDescent="0.25">
      <c r="A106" s="20" t="s">
        <v>274</v>
      </c>
      <c r="B106" s="20" t="s">
        <v>70</v>
      </c>
    </row>
    <row r="107" spans="1:2" x14ac:dyDescent="0.25">
      <c r="A107" s="20" t="s">
        <v>275</v>
      </c>
      <c r="B107" s="20" t="s">
        <v>67</v>
      </c>
    </row>
    <row r="108" spans="1:2" x14ac:dyDescent="0.25">
      <c r="A108" s="20" t="s">
        <v>276</v>
      </c>
      <c r="B108" s="20" t="s">
        <v>71</v>
      </c>
    </row>
    <row r="110" spans="1:2" x14ac:dyDescent="0.25">
      <c r="A110" s="21" t="s">
        <v>74</v>
      </c>
      <c r="B110" s="21" t="s">
        <v>74</v>
      </c>
    </row>
    <row r="111" spans="1:2" x14ac:dyDescent="0.25">
      <c r="A111" s="20" t="s">
        <v>16</v>
      </c>
      <c r="B111" s="20" t="s">
        <v>16</v>
      </c>
    </row>
    <row r="112" spans="1:2" x14ac:dyDescent="0.25">
      <c r="A112" s="20" t="s">
        <v>37</v>
      </c>
      <c r="B112" s="20" t="s">
        <v>37</v>
      </c>
    </row>
    <row r="113" spans="1:2" x14ac:dyDescent="0.25">
      <c r="A113" s="20" t="s">
        <v>68</v>
      </c>
      <c r="B113" s="45" t="s">
        <v>68</v>
      </c>
    </row>
    <row r="114" spans="1:2" x14ac:dyDescent="0.25">
      <c r="A114" s="20" t="s">
        <v>72</v>
      </c>
      <c r="B114" s="45" t="s">
        <v>72</v>
      </c>
    </row>
    <row r="115" spans="1:2" x14ac:dyDescent="0.25">
      <c r="A115" s="20" t="s">
        <v>22</v>
      </c>
      <c r="B115" s="20" t="s">
        <v>22</v>
      </c>
    </row>
    <row r="116" spans="1:2" x14ac:dyDescent="0.25">
      <c r="A116" s="20" t="s">
        <v>38</v>
      </c>
      <c r="B116" s="20" t="s">
        <v>38</v>
      </c>
    </row>
    <row r="117" spans="1:2" x14ac:dyDescent="0.25">
      <c r="A117" s="20" t="s">
        <v>66</v>
      </c>
      <c r="B117" s="20" t="s">
        <v>66</v>
      </c>
    </row>
    <row r="118" spans="1:2" x14ac:dyDescent="0.25">
      <c r="A118" s="20" t="s">
        <v>70</v>
      </c>
      <c r="B118" s="20" t="s">
        <v>70</v>
      </c>
    </row>
    <row r="119" spans="1:2" x14ac:dyDescent="0.25">
      <c r="A119" s="20" t="s">
        <v>67</v>
      </c>
      <c r="B119" s="20" t="s">
        <v>67</v>
      </c>
    </row>
    <row r="120" spans="1:2" x14ac:dyDescent="0.25">
      <c r="A120" s="20" t="s">
        <v>71</v>
      </c>
      <c r="B120" s="20" t="s">
        <v>71</v>
      </c>
    </row>
    <row r="122" spans="1:2" x14ac:dyDescent="0.25">
      <c r="A122" s="21" t="s">
        <v>75</v>
      </c>
      <c r="B122" s="21" t="s">
        <v>75</v>
      </c>
    </row>
    <row r="123" spans="1:2" x14ac:dyDescent="0.25">
      <c r="A123" s="20" t="s">
        <v>16</v>
      </c>
      <c r="B123" s="20" t="s">
        <v>16</v>
      </c>
    </row>
    <row r="124" spans="1:2" x14ac:dyDescent="0.25">
      <c r="A124" s="20" t="s">
        <v>37</v>
      </c>
      <c r="B124" s="20" t="s">
        <v>37</v>
      </c>
    </row>
    <row r="125" spans="1:2" x14ac:dyDescent="0.25">
      <c r="A125" s="20" t="s">
        <v>68</v>
      </c>
      <c r="B125" s="45" t="s">
        <v>68</v>
      </c>
    </row>
    <row r="126" spans="1:2" x14ac:dyDescent="0.25">
      <c r="A126" s="20" t="s">
        <v>72</v>
      </c>
      <c r="B126" s="45" t="s">
        <v>72</v>
      </c>
    </row>
    <row r="127" spans="1:2" x14ac:dyDescent="0.25">
      <c r="A127" s="20" t="s">
        <v>22</v>
      </c>
      <c r="B127" s="20" t="s">
        <v>22</v>
      </c>
    </row>
    <row r="128" spans="1:2" x14ac:dyDescent="0.25">
      <c r="A128" s="20" t="s">
        <v>38</v>
      </c>
      <c r="B128" s="20" t="s">
        <v>38</v>
      </c>
    </row>
    <row r="129" spans="1:2" x14ac:dyDescent="0.25">
      <c r="A129" s="20" t="s">
        <v>66</v>
      </c>
      <c r="B129" s="20" t="s">
        <v>66</v>
      </c>
    </row>
    <row r="130" spans="1:2" x14ac:dyDescent="0.25">
      <c r="A130" s="20" t="s">
        <v>70</v>
      </c>
      <c r="B130" s="20" t="s">
        <v>70</v>
      </c>
    </row>
    <row r="131" spans="1:2" x14ac:dyDescent="0.25">
      <c r="A131" s="20" t="s">
        <v>67</v>
      </c>
      <c r="B131" s="20" t="s">
        <v>67</v>
      </c>
    </row>
    <row r="132" spans="1:2" x14ac:dyDescent="0.25">
      <c r="A132" s="20" t="s">
        <v>71</v>
      </c>
      <c r="B132" s="20" t="s">
        <v>71</v>
      </c>
    </row>
    <row r="134" spans="1:2" x14ac:dyDescent="0.25">
      <c r="A134" s="21" t="s">
        <v>76</v>
      </c>
      <c r="B134" s="21" t="s">
        <v>76</v>
      </c>
    </row>
    <row r="135" spans="1:2" x14ac:dyDescent="0.25">
      <c r="A135" s="20" t="s">
        <v>16</v>
      </c>
      <c r="B135" s="20" t="s">
        <v>16</v>
      </c>
    </row>
    <row r="136" spans="1:2" x14ac:dyDescent="0.25">
      <c r="A136" s="20" t="s">
        <v>37</v>
      </c>
      <c r="B136" s="20" t="s">
        <v>37</v>
      </c>
    </row>
    <row r="137" spans="1:2" x14ac:dyDescent="0.25">
      <c r="A137" s="20" t="s">
        <v>68</v>
      </c>
      <c r="B137" s="45" t="s">
        <v>68</v>
      </c>
    </row>
    <row r="138" spans="1:2" x14ac:dyDescent="0.25">
      <c r="A138" s="20" t="s">
        <v>72</v>
      </c>
      <c r="B138" s="45" t="s">
        <v>72</v>
      </c>
    </row>
    <row r="139" spans="1:2" x14ac:dyDescent="0.25">
      <c r="A139" s="20" t="s">
        <v>22</v>
      </c>
      <c r="B139" s="20" t="s">
        <v>22</v>
      </c>
    </row>
    <row r="140" spans="1:2" x14ac:dyDescent="0.25">
      <c r="A140" s="20" t="s">
        <v>38</v>
      </c>
      <c r="B140" s="20" t="s">
        <v>38</v>
      </c>
    </row>
    <row r="141" spans="1:2" x14ac:dyDescent="0.25">
      <c r="A141" s="20" t="s">
        <v>66</v>
      </c>
      <c r="B141" s="20" t="s">
        <v>66</v>
      </c>
    </row>
    <row r="142" spans="1:2" x14ac:dyDescent="0.25">
      <c r="A142" s="20" t="s">
        <v>70</v>
      </c>
      <c r="B142" s="20" t="s">
        <v>70</v>
      </c>
    </row>
    <row r="143" spans="1:2" x14ac:dyDescent="0.25">
      <c r="A143" s="20" t="s">
        <v>67</v>
      </c>
      <c r="B143" s="20" t="s">
        <v>67</v>
      </c>
    </row>
    <row r="144" spans="1:2" x14ac:dyDescent="0.25">
      <c r="A144" s="20" t="s">
        <v>71</v>
      </c>
      <c r="B144" s="20" t="s">
        <v>71</v>
      </c>
    </row>
    <row r="146" spans="1:2" x14ac:dyDescent="0.25">
      <c r="A146" s="21" t="s">
        <v>77</v>
      </c>
      <c r="B146" s="21" t="s">
        <v>77</v>
      </c>
    </row>
    <row r="147" spans="1:2" x14ac:dyDescent="0.25">
      <c r="A147" s="20" t="s">
        <v>16</v>
      </c>
      <c r="B147" s="20" t="s">
        <v>16</v>
      </c>
    </row>
    <row r="148" spans="1:2" x14ac:dyDescent="0.25">
      <c r="A148" s="20" t="s">
        <v>37</v>
      </c>
      <c r="B148" s="20" t="s">
        <v>37</v>
      </c>
    </row>
    <row r="149" spans="1:2" x14ac:dyDescent="0.25">
      <c r="A149" s="20" t="s">
        <v>68</v>
      </c>
      <c r="B149" s="45" t="s">
        <v>68</v>
      </c>
    </row>
    <row r="150" spans="1:2" x14ac:dyDescent="0.25">
      <c r="A150" s="20" t="s">
        <v>72</v>
      </c>
      <c r="B150" s="45" t="s">
        <v>72</v>
      </c>
    </row>
    <row r="151" spans="1:2" x14ac:dyDescent="0.25">
      <c r="A151" s="20" t="s">
        <v>22</v>
      </c>
      <c r="B151" s="20" t="s">
        <v>22</v>
      </c>
    </row>
    <row r="152" spans="1:2" x14ac:dyDescent="0.25">
      <c r="A152" s="20" t="s">
        <v>38</v>
      </c>
      <c r="B152" s="20" t="s">
        <v>38</v>
      </c>
    </row>
    <row r="153" spans="1:2" x14ac:dyDescent="0.25">
      <c r="A153" s="20" t="s">
        <v>66</v>
      </c>
      <c r="B153" s="20" t="s">
        <v>66</v>
      </c>
    </row>
    <row r="154" spans="1:2" x14ac:dyDescent="0.25">
      <c r="A154" s="20" t="s">
        <v>70</v>
      </c>
      <c r="B154" s="20" t="s">
        <v>70</v>
      </c>
    </row>
    <row r="155" spans="1:2" x14ac:dyDescent="0.25">
      <c r="A155" s="20" t="s">
        <v>67</v>
      </c>
      <c r="B155" s="20" t="s">
        <v>67</v>
      </c>
    </row>
    <row r="156" spans="1:2" x14ac:dyDescent="0.25">
      <c r="A156" s="20" t="s">
        <v>71</v>
      </c>
      <c r="B156" s="20" t="s">
        <v>71</v>
      </c>
    </row>
    <row r="158" spans="1:2" x14ac:dyDescent="0.25">
      <c r="A158" s="21" t="s">
        <v>277</v>
      </c>
      <c r="B158" s="21" t="s">
        <v>78</v>
      </c>
    </row>
    <row r="159" spans="1:2" x14ac:dyDescent="0.25">
      <c r="A159" s="20" t="s">
        <v>16</v>
      </c>
      <c r="B159" s="20" t="s">
        <v>16</v>
      </c>
    </row>
    <row r="160" spans="1:2" x14ac:dyDescent="0.25">
      <c r="A160" s="20" t="s">
        <v>37</v>
      </c>
      <c r="B160" s="20" t="s">
        <v>37</v>
      </c>
    </row>
    <row r="161" spans="1:2" x14ac:dyDescent="0.25">
      <c r="A161" s="20" t="s">
        <v>68</v>
      </c>
      <c r="B161" s="45" t="s">
        <v>68</v>
      </c>
    </row>
    <row r="162" spans="1:2" x14ac:dyDescent="0.25">
      <c r="A162" s="20" t="s">
        <v>72</v>
      </c>
      <c r="B162" s="45" t="s">
        <v>72</v>
      </c>
    </row>
    <row r="163" spans="1:2" x14ac:dyDescent="0.25">
      <c r="A163" s="20" t="s">
        <v>22</v>
      </c>
      <c r="B163" s="20" t="s">
        <v>22</v>
      </c>
    </row>
    <row r="164" spans="1:2" x14ac:dyDescent="0.25">
      <c r="A164" s="20" t="s">
        <v>38</v>
      </c>
      <c r="B164" s="20" t="s">
        <v>38</v>
      </c>
    </row>
    <row r="165" spans="1:2" x14ac:dyDescent="0.25">
      <c r="A165" s="20" t="s">
        <v>66</v>
      </c>
      <c r="B165" s="20" t="s">
        <v>66</v>
      </c>
    </row>
    <row r="166" spans="1:2" x14ac:dyDescent="0.25">
      <c r="A166" s="20" t="s">
        <v>70</v>
      </c>
      <c r="B166" s="20" t="s">
        <v>70</v>
      </c>
    </row>
    <row r="167" spans="1:2" x14ac:dyDescent="0.25">
      <c r="A167" s="20" t="s">
        <v>67</v>
      </c>
      <c r="B167" s="20" t="s">
        <v>67</v>
      </c>
    </row>
    <row r="168" spans="1:2" x14ac:dyDescent="0.25">
      <c r="A168" s="20" t="s">
        <v>71</v>
      </c>
      <c r="B168" s="20" t="s">
        <v>71</v>
      </c>
    </row>
    <row r="170" spans="1:2" x14ac:dyDescent="0.25">
      <c r="A170" s="21" t="s">
        <v>79</v>
      </c>
      <c r="B170" s="21" t="s">
        <v>79</v>
      </c>
    </row>
    <row r="171" spans="1:2" x14ac:dyDescent="0.25">
      <c r="A171" s="20" t="s">
        <v>16</v>
      </c>
      <c r="B171" s="20" t="s">
        <v>16</v>
      </c>
    </row>
    <row r="172" spans="1:2" x14ac:dyDescent="0.25">
      <c r="A172" s="20" t="s">
        <v>37</v>
      </c>
      <c r="B172" s="20" t="s">
        <v>37</v>
      </c>
    </row>
    <row r="173" spans="1:2" x14ac:dyDescent="0.25">
      <c r="A173" s="20" t="s">
        <v>68</v>
      </c>
      <c r="B173" s="45" t="s">
        <v>68</v>
      </c>
    </row>
    <row r="174" spans="1:2" x14ac:dyDescent="0.25">
      <c r="A174" s="20" t="s">
        <v>72</v>
      </c>
      <c r="B174" s="45" t="s">
        <v>72</v>
      </c>
    </row>
    <row r="175" spans="1:2" x14ac:dyDescent="0.25">
      <c r="A175" s="20" t="s">
        <v>22</v>
      </c>
      <c r="B175" s="20" t="s">
        <v>22</v>
      </c>
    </row>
    <row r="176" spans="1:2" x14ac:dyDescent="0.25">
      <c r="A176" s="20" t="s">
        <v>38</v>
      </c>
      <c r="B176" s="20" t="s">
        <v>38</v>
      </c>
    </row>
    <row r="177" spans="1:2" x14ac:dyDescent="0.25">
      <c r="A177" s="20" t="s">
        <v>66</v>
      </c>
      <c r="B177" s="20" t="s">
        <v>66</v>
      </c>
    </row>
    <row r="178" spans="1:2" x14ac:dyDescent="0.25">
      <c r="A178" s="20" t="s">
        <v>70</v>
      </c>
      <c r="B178" s="20" t="s">
        <v>70</v>
      </c>
    </row>
    <row r="179" spans="1:2" x14ac:dyDescent="0.25">
      <c r="A179" s="20" t="s">
        <v>67</v>
      </c>
      <c r="B179" s="20" t="s">
        <v>67</v>
      </c>
    </row>
    <row r="180" spans="1:2" x14ac:dyDescent="0.25">
      <c r="A180" s="20" t="s">
        <v>71</v>
      </c>
      <c r="B180" s="20" t="s">
        <v>71</v>
      </c>
    </row>
    <row r="182" spans="1:2" x14ac:dyDescent="0.25">
      <c r="A182" s="21" t="s">
        <v>80</v>
      </c>
      <c r="B182" s="21" t="s">
        <v>80</v>
      </c>
    </row>
    <row r="183" spans="1:2" x14ac:dyDescent="0.25">
      <c r="A183" s="20" t="s">
        <v>16</v>
      </c>
      <c r="B183" s="20" t="s">
        <v>16</v>
      </c>
    </row>
    <row r="184" spans="1:2" x14ac:dyDescent="0.25">
      <c r="A184" s="20" t="s">
        <v>37</v>
      </c>
      <c r="B184" s="20" t="s">
        <v>37</v>
      </c>
    </row>
    <row r="185" spans="1:2" x14ac:dyDescent="0.25">
      <c r="A185" s="20" t="s">
        <v>68</v>
      </c>
      <c r="B185" s="45" t="s">
        <v>68</v>
      </c>
    </row>
    <row r="186" spans="1:2" x14ac:dyDescent="0.25">
      <c r="A186" s="20" t="s">
        <v>72</v>
      </c>
      <c r="B186" s="45" t="s">
        <v>72</v>
      </c>
    </row>
    <row r="187" spans="1:2" x14ac:dyDescent="0.25">
      <c r="A187" s="20" t="s">
        <v>22</v>
      </c>
      <c r="B187" s="20" t="s">
        <v>22</v>
      </c>
    </row>
    <row r="188" spans="1:2" x14ac:dyDescent="0.25">
      <c r="A188" s="20" t="s">
        <v>38</v>
      </c>
      <c r="B188" s="20" t="s">
        <v>38</v>
      </c>
    </row>
    <row r="189" spans="1:2" x14ac:dyDescent="0.25">
      <c r="A189" s="20" t="s">
        <v>66</v>
      </c>
      <c r="B189" s="20" t="s">
        <v>66</v>
      </c>
    </row>
    <row r="190" spans="1:2" x14ac:dyDescent="0.25">
      <c r="A190" s="20" t="s">
        <v>70</v>
      </c>
      <c r="B190" s="20" t="s">
        <v>70</v>
      </c>
    </row>
    <row r="191" spans="1:2" x14ac:dyDescent="0.25">
      <c r="A191" s="20" t="s">
        <v>67</v>
      </c>
      <c r="B191" s="20" t="s">
        <v>67</v>
      </c>
    </row>
    <row r="192" spans="1:2" x14ac:dyDescent="0.25">
      <c r="A192" s="20" t="s">
        <v>71</v>
      </c>
      <c r="B192" s="20" t="s">
        <v>71</v>
      </c>
    </row>
    <row r="194" spans="1:2" x14ac:dyDescent="0.25">
      <c r="A194" s="21" t="s">
        <v>278</v>
      </c>
      <c r="B194" s="21" t="s">
        <v>81</v>
      </c>
    </row>
    <row r="195" spans="1:2" x14ac:dyDescent="0.25">
      <c r="A195" s="20" t="s">
        <v>16</v>
      </c>
      <c r="B195" s="20" t="s">
        <v>16</v>
      </c>
    </row>
    <row r="196" spans="1:2" x14ac:dyDescent="0.25">
      <c r="A196" s="20" t="s">
        <v>37</v>
      </c>
      <c r="B196" s="20" t="s">
        <v>37</v>
      </c>
    </row>
    <row r="197" spans="1:2" x14ac:dyDescent="0.25">
      <c r="A197" s="20" t="s">
        <v>68</v>
      </c>
      <c r="B197" s="45" t="s">
        <v>68</v>
      </c>
    </row>
    <row r="198" spans="1:2" x14ac:dyDescent="0.25">
      <c r="A198" s="20" t="s">
        <v>72</v>
      </c>
      <c r="B198" s="45" t="s">
        <v>72</v>
      </c>
    </row>
    <row r="199" spans="1:2" x14ac:dyDescent="0.25">
      <c r="A199" s="20" t="s">
        <v>22</v>
      </c>
      <c r="B199" s="20" t="s">
        <v>22</v>
      </c>
    </row>
    <row r="200" spans="1:2" x14ac:dyDescent="0.25">
      <c r="A200" s="20" t="s">
        <v>38</v>
      </c>
      <c r="B200" s="20" t="s">
        <v>38</v>
      </c>
    </row>
    <row r="201" spans="1:2" x14ac:dyDescent="0.25">
      <c r="A201" s="20" t="s">
        <v>66</v>
      </c>
      <c r="B201" s="20" t="s">
        <v>66</v>
      </c>
    </row>
    <row r="202" spans="1:2" x14ac:dyDescent="0.25">
      <c r="A202" s="20" t="s">
        <v>70</v>
      </c>
      <c r="B202" s="20" t="s">
        <v>70</v>
      </c>
    </row>
    <row r="203" spans="1:2" x14ac:dyDescent="0.25">
      <c r="A203" s="20" t="s">
        <v>67</v>
      </c>
      <c r="B203" s="20" t="s">
        <v>67</v>
      </c>
    </row>
    <row r="204" spans="1:2" x14ac:dyDescent="0.25">
      <c r="A204" s="20" t="s">
        <v>71</v>
      </c>
      <c r="B204" s="20" t="s">
        <v>71</v>
      </c>
    </row>
    <row r="206" spans="1:2" x14ac:dyDescent="0.25">
      <c r="A206" s="21" t="s">
        <v>82</v>
      </c>
      <c r="B206" s="21" t="s">
        <v>82</v>
      </c>
    </row>
    <row r="207" spans="1:2" x14ac:dyDescent="0.25">
      <c r="A207" s="20" t="s">
        <v>16</v>
      </c>
      <c r="B207" s="20" t="s">
        <v>16</v>
      </c>
    </row>
    <row r="208" spans="1:2" x14ac:dyDescent="0.25">
      <c r="A208" s="20" t="s">
        <v>37</v>
      </c>
      <c r="B208" s="20" t="s">
        <v>37</v>
      </c>
    </row>
    <row r="209" spans="1:2" x14ac:dyDescent="0.25">
      <c r="A209" s="20" t="s">
        <v>68</v>
      </c>
      <c r="B209" s="45" t="s">
        <v>68</v>
      </c>
    </row>
    <row r="210" spans="1:2" x14ac:dyDescent="0.25">
      <c r="A210" s="20" t="s">
        <v>72</v>
      </c>
      <c r="B210" s="45" t="s">
        <v>72</v>
      </c>
    </row>
    <row r="211" spans="1:2" x14ac:dyDescent="0.25">
      <c r="A211" s="20" t="s">
        <v>22</v>
      </c>
      <c r="B211" s="20" t="s">
        <v>22</v>
      </c>
    </row>
    <row r="212" spans="1:2" x14ac:dyDescent="0.25">
      <c r="A212" s="20" t="s">
        <v>38</v>
      </c>
      <c r="B212" s="20" t="s">
        <v>38</v>
      </c>
    </row>
    <row r="213" spans="1:2" x14ac:dyDescent="0.25">
      <c r="A213" s="20" t="s">
        <v>66</v>
      </c>
      <c r="B213" s="20" t="s">
        <v>66</v>
      </c>
    </row>
    <row r="214" spans="1:2" x14ac:dyDescent="0.25">
      <c r="A214" s="20" t="s">
        <v>70</v>
      </c>
      <c r="B214" s="20" t="s">
        <v>70</v>
      </c>
    </row>
    <row r="215" spans="1:2" x14ac:dyDescent="0.25">
      <c r="A215" s="20" t="s">
        <v>67</v>
      </c>
      <c r="B215" s="20" t="s">
        <v>67</v>
      </c>
    </row>
    <row r="216" spans="1:2" x14ac:dyDescent="0.25">
      <c r="A216" s="20" t="s">
        <v>71</v>
      </c>
      <c r="B216" s="20" t="s">
        <v>71</v>
      </c>
    </row>
    <row r="218" spans="1:2" x14ac:dyDescent="0.25">
      <c r="A218" s="46" t="s">
        <v>279</v>
      </c>
      <c r="B218" s="46" t="s">
        <v>25</v>
      </c>
    </row>
    <row r="219" spans="1:2" x14ac:dyDescent="0.25">
      <c r="A219" s="46" t="s">
        <v>280</v>
      </c>
      <c r="B219" s="46" t="s">
        <v>30</v>
      </c>
    </row>
    <row r="220" spans="1:2" x14ac:dyDescent="0.25">
      <c r="A220" s="46" t="s">
        <v>281</v>
      </c>
      <c r="B220" s="46" t="s">
        <v>34</v>
      </c>
    </row>
    <row r="221" spans="1:2" x14ac:dyDescent="0.25">
      <c r="A221" s="46" t="s">
        <v>282</v>
      </c>
      <c r="B221" s="46" t="s">
        <v>36</v>
      </c>
    </row>
    <row r="222" spans="1:2" x14ac:dyDescent="0.25">
      <c r="A222" s="46" t="s">
        <v>283</v>
      </c>
      <c r="B222" s="46" t="s">
        <v>117</v>
      </c>
    </row>
    <row r="223" spans="1:2" x14ac:dyDescent="0.25">
      <c r="A223" s="46" t="s">
        <v>284</v>
      </c>
      <c r="B223" s="46" t="s">
        <v>110</v>
      </c>
    </row>
    <row r="224" spans="1:2" x14ac:dyDescent="0.25">
      <c r="A224" s="46" t="s">
        <v>285</v>
      </c>
      <c r="B224" s="46" t="s">
        <v>113</v>
      </c>
    </row>
    <row r="225" spans="1:2" ht="17.399999999999999" x14ac:dyDescent="0.3">
      <c r="A225" s="47" t="s">
        <v>286</v>
      </c>
      <c r="B225" s="47" t="s">
        <v>287</v>
      </c>
    </row>
    <row r="226" spans="1:2" x14ac:dyDescent="0.25">
      <c r="A226" s="46" t="s">
        <v>288</v>
      </c>
      <c r="B226" s="46" t="s">
        <v>44</v>
      </c>
    </row>
    <row r="227" spans="1:2" x14ac:dyDescent="0.25">
      <c r="A227" s="46" t="s">
        <v>289</v>
      </c>
      <c r="B227" s="46" t="s">
        <v>47</v>
      </c>
    </row>
    <row r="228" spans="1:2" x14ac:dyDescent="0.25">
      <c r="A228" s="46" t="s">
        <v>34</v>
      </c>
      <c r="B228" s="46" t="s">
        <v>34</v>
      </c>
    </row>
    <row r="229" spans="1:2" x14ac:dyDescent="0.25">
      <c r="A229" s="46" t="s">
        <v>36</v>
      </c>
      <c r="B229" s="46" t="s">
        <v>36</v>
      </c>
    </row>
    <row r="230" spans="1:2" x14ac:dyDescent="0.25">
      <c r="A230" s="46" t="s">
        <v>290</v>
      </c>
      <c r="B230" s="46" t="s">
        <v>120</v>
      </c>
    </row>
    <row r="231" spans="1:2" x14ac:dyDescent="0.25">
      <c r="A231" s="46" t="s">
        <v>291</v>
      </c>
      <c r="B231" s="46" t="s">
        <v>123</v>
      </c>
    </row>
    <row r="232" spans="1:2" x14ac:dyDescent="0.25">
      <c r="A232" s="46" t="s">
        <v>292</v>
      </c>
      <c r="B232" s="46" t="s">
        <v>114</v>
      </c>
    </row>
    <row r="233" spans="1:2" x14ac:dyDescent="0.25">
      <c r="A233" s="48" t="s">
        <v>293</v>
      </c>
      <c r="B233" s="48" t="s">
        <v>294</v>
      </c>
    </row>
    <row r="234" spans="1:2" x14ac:dyDescent="0.25">
      <c r="A234" s="48" t="s">
        <v>295</v>
      </c>
      <c r="B234" s="48" t="s">
        <v>296</v>
      </c>
    </row>
    <row r="235" spans="1:2" x14ac:dyDescent="0.25">
      <c r="A235" s="48" t="s">
        <v>297</v>
      </c>
      <c r="B235" s="48" t="s">
        <v>190</v>
      </c>
    </row>
    <row r="236" spans="1:2" x14ac:dyDescent="0.25">
      <c r="A236" s="48" t="s">
        <v>298</v>
      </c>
      <c r="B236" s="48" t="s">
        <v>299</v>
      </c>
    </row>
    <row r="237" spans="1:2" x14ac:dyDescent="0.25">
      <c r="A237" s="48" t="s">
        <v>300</v>
      </c>
      <c r="B237" s="48" t="s">
        <v>192</v>
      </c>
    </row>
    <row r="238" spans="1:2" x14ac:dyDescent="0.25">
      <c r="A238" s="48" t="s">
        <v>199</v>
      </c>
      <c r="B238" s="48" t="s">
        <v>199</v>
      </c>
    </row>
    <row r="239" spans="1:2" x14ac:dyDescent="0.25">
      <c r="A239" s="49"/>
      <c r="B239" s="49"/>
    </row>
    <row r="241" spans="1:2" x14ac:dyDescent="0.25">
      <c r="A241" s="50" t="s">
        <v>301</v>
      </c>
      <c r="B241" s="50" t="s">
        <v>105</v>
      </c>
    </row>
    <row r="242" spans="1:2" x14ac:dyDescent="0.25">
      <c r="A242" s="50" t="s">
        <v>302</v>
      </c>
      <c r="B242" s="50" t="s">
        <v>106</v>
      </c>
    </row>
    <row r="243" spans="1:2" x14ac:dyDescent="0.25">
      <c r="A243" s="50" t="s">
        <v>303</v>
      </c>
      <c r="B243" s="50" t="s">
        <v>107</v>
      </c>
    </row>
    <row r="244" spans="1:2" ht="17.399999999999999" x14ac:dyDescent="0.3">
      <c r="A244" s="51" t="s">
        <v>304</v>
      </c>
      <c r="B244" s="51" t="s">
        <v>305</v>
      </c>
    </row>
    <row r="245" spans="1:2" x14ac:dyDescent="0.25">
      <c r="A245" s="52" t="s">
        <v>306</v>
      </c>
      <c r="B245" s="52" t="s">
        <v>49</v>
      </c>
    </row>
    <row r="246" spans="1:2" x14ac:dyDescent="0.25">
      <c r="A246" s="52" t="s">
        <v>34</v>
      </c>
      <c r="B246" s="52" t="s">
        <v>34</v>
      </c>
    </row>
    <row r="247" spans="1:2" x14ac:dyDescent="0.25">
      <c r="A247" s="52" t="s">
        <v>36</v>
      </c>
      <c r="B247" s="52" t="s">
        <v>36</v>
      </c>
    </row>
    <row r="248" spans="1:2" x14ac:dyDescent="0.25">
      <c r="A248" s="52" t="s">
        <v>307</v>
      </c>
      <c r="B248" s="52" t="s">
        <v>50</v>
      </c>
    </row>
    <row r="249" spans="1:2" x14ac:dyDescent="0.25">
      <c r="A249" s="52" t="s">
        <v>308</v>
      </c>
      <c r="B249" s="52" t="s">
        <v>51</v>
      </c>
    </row>
    <row r="250" spans="1:2" x14ac:dyDescent="0.25">
      <c r="A250" s="53" t="s">
        <v>309</v>
      </c>
      <c r="B250" s="53" t="s">
        <v>310</v>
      </c>
    </row>
    <row r="252" spans="1:2" x14ac:dyDescent="0.25">
      <c r="A252" s="54" t="s">
        <v>311</v>
      </c>
      <c r="B252" s="54" t="s">
        <v>312</v>
      </c>
    </row>
    <row r="253" spans="1:2" x14ac:dyDescent="0.25">
      <c r="A253" s="54" t="s">
        <v>313</v>
      </c>
      <c r="B253" s="54" t="s">
        <v>314</v>
      </c>
    </row>
    <row r="254" spans="1:2" x14ac:dyDescent="0.25">
      <c r="A254" s="54" t="s">
        <v>315</v>
      </c>
      <c r="B254" s="54" t="s">
        <v>316</v>
      </c>
    </row>
    <row r="255" spans="1:2" x14ac:dyDescent="0.25">
      <c r="A255" s="54" t="s">
        <v>317</v>
      </c>
      <c r="B255" s="54" t="s">
        <v>318</v>
      </c>
    </row>
    <row r="256" spans="1:2" x14ac:dyDescent="0.25">
      <c r="A256" s="54" t="s">
        <v>138</v>
      </c>
      <c r="B256" s="54" t="s">
        <v>138</v>
      </c>
    </row>
    <row r="257" spans="1:8" x14ac:dyDescent="0.25">
      <c r="A257" s="54" t="s">
        <v>319</v>
      </c>
      <c r="B257" s="54" t="s">
        <v>141</v>
      </c>
    </row>
    <row r="258" spans="1:8" x14ac:dyDescent="0.25">
      <c r="A258" s="54" t="s">
        <v>320</v>
      </c>
      <c r="B258" s="54" t="s">
        <v>321</v>
      </c>
    </row>
    <row r="260" spans="1:8" x14ac:dyDescent="0.25">
      <c r="A260" s="24" t="s">
        <v>322</v>
      </c>
      <c r="B260" s="55" t="s">
        <v>187</v>
      </c>
    </row>
    <row r="261" spans="1:8" x14ac:dyDescent="0.25">
      <c r="A261" s="24" t="s">
        <v>323</v>
      </c>
      <c r="B261" s="24" t="s">
        <v>179</v>
      </c>
    </row>
    <row r="262" spans="1:8" x14ac:dyDescent="0.25">
      <c r="A262" s="24" t="s">
        <v>324</v>
      </c>
      <c r="B262" s="24" t="s">
        <v>181</v>
      </c>
    </row>
    <row r="263" spans="1:8" x14ac:dyDescent="0.25">
      <c r="A263" s="24" t="s">
        <v>325</v>
      </c>
      <c r="B263" s="24" t="s">
        <v>182</v>
      </c>
    </row>
    <row r="264" spans="1:8" x14ac:dyDescent="0.25">
      <c r="A264" s="24" t="s">
        <v>326</v>
      </c>
      <c r="B264" s="24" t="s">
        <v>186</v>
      </c>
    </row>
    <row r="265" spans="1:8" x14ac:dyDescent="0.25">
      <c r="A265" s="24" t="s">
        <v>327</v>
      </c>
      <c r="B265" s="24" t="s">
        <v>185</v>
      </c>
    </row>
    <row r="266" spans="1:8" x14ac:dyDescent="0.25">
      <c r="A266" s="56" t="s">
        <v>328</v>
      </c>
      <c r="B266" s="56" t="s">
        <v>183</v>
      </c>
    </row>
    <row r="267" spans="1:8" x14ac:dyDescent="0.25">
      <c r="A267" s="57" t="s">
        <v>329</v>
      </c>
      <c r="B267" s="58" t="s">
        <v>175</v>
      </c>
      <c r="H267" s="2"/>
    </row>
    <row r="268" spans="1:8" x14ac:dyDescent="0.25">
      <c r="A268" s="35" t="s">
        <v>330</v>
      </c>
      <c r="B268" s="3" t="s">
        <v>176</v>
      </c>
    </row>
    <row r="269" spans="1:8" x14ac:dyDescent="0.25">
      <c r="A269" s="35" t="s">
        <v>331</v>
      </c>
      <c r="B269" s="14" t="s">
        <v>177</v>
      </c>
    </row>
    <row r="270" spans="1:8" x14ac:dyDescent="0.25">
      <c r="A270" s="20" t="s">
        <v>2</v>
      </c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Button 1">
              <controlPr defaultSize="0" print="0" autoFill="0" autoPict="0" macro="[1]!Translation">
                <anchor moveWithCells="1" sizeWithCells="1">
                  <from>
                    <xdr:col>2</xdr:col>
                    <xdr:colOff>670560</xdr:colOff>
                    <xdr:row>1</xdr:row>
                    <xdr:rowOff>106680</xdr:rowOff>
                  </from>
                  <to>
                    <xdr:col>4</xdr:col>
                    <xdr:colOff>198120</xdr:colOff>
                    <xdr:row>4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291E2-5793-4394-A859-7E7905887CB2}">
  <sheetPr>
    <pageSetUpPr fitToPage="1"/>
  </sheetPr>
  <dimension ref="A1:AJ84"/>
  <sheetViews>
    <sheetView tabSelected="1" zoomScale="75" workbookViewId="0">
      <selection activeCell="A5" sqref="A5"/>
    </sheetView>
  </sheetViews>
  <sheetFormatPr baseColWidth="10" defaultColWidth="13.5546875" defaultRowHeight="15.75" customHeight="1" x14ac:dyDescent="0.25"/>
  <cols>
    <col min="1" max="3" width="1.5546875" style="20" customWidth="1"/>
    <col min="4" max="4" width="11.44140625" style="20" customWidth="1"/>
    <col min="5" max="5" width="13" style="20" customWidth="1"/>
    <col min="6" max="9" width="6.5546875" style="20" customWidth="1"/>
    <col min="10" max="11" width="2.33203125" style="20" customWidth="1"/>
    <col min="12" max="12" width="11.44140625" style="20" customWidth="1"/>
    <col min="13" max="13" width="13" style="20" customWidth="1"/>
    <col min="14" max="17" width="6.5546875" style="20" customWidth="1"/>
    <col min="18" max="19" width="2.33203125" style="20" customWidth="1"/>
    <col min="20" max="20" width="11.44140625" style="20" customWidth="1"/>
    <col min="21" max="21" width="13" style="20" customWidth="1"/>
    <col min="22" max="25" width="6.5546875" style="20" customWidth="1"/>
    <col min="26" max="26" width="2.33203125" style="20" customWidth="1"/>
    <col min="27" max="27" width="3.109375" style="20" bestFit="1" customWidth="1"/>
    <col min="28" max="28" width="8.5546875" style="20" hidden="1" customWidth="1"/>
    <col min="29" max="29" width="14" style="20" hidden="1" customWidth="1"/>
    <col min="30" max="30" width="21" style="20" hidden="1" customWidth="1"/>
    <col min="31" max="16384" width="13.5546875" style="20"/>
  </cols>
  <sheetData>
    <row r="1" spans="1:27" ht="6.75" customHeight="1" x14ac:dyDescent="0.25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</row>
    <row r="2" spans="1:27" ht="32.4" x14ac:dyDescent="0.25">
      <c r="A2" s="59"/>
      <c r="B2" s="59"/>
      <c r="C2" s="59"/>
      <c r="D2" s="59"/>
      <c r="E2" s="59"/>
      <c r="F2" s="59"/>
      <c r="G2" s="60" t="s">
        <v>332</v>
      </c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</row>
    <row r="3" spans="1:27" ht="75.75" customHeight="1" x14ac:dyDescent="0.25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 t="s">
        <v>333</v>
      </c>
      <c r="T3" s="59"/>
      <c r="U3" s="59"/>
      <c r="V3" s="59"/>
      <c r="W3" s="59"/>
      <c r="X3" s="59"/>
      <c r="Y3" s="59"/>
      <c r="Z3" s="59"/>
      <c r="AA3" s="59"/>
    </row>
    <row r="4" spans="1:27" ht="32.4" x14ac:dyDescent="0.25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61" t="s">
        <v>334</v>
      </c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</row>
    <row r="5" spans="1:27" ht="6.75" customHeight="1" x14ac:dyDescent="0.25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</row>
    <row r="6" spans="1:27" ht="6.75" customHeight="1" x14ac:dyDescent="0.25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</row>
    <row r="7" spans="1:27" ht="24.6" x14ac:dyDescent="0.25">
      <c r="A7" s="59"/>
      <c r="B7" s="59"/>
      <c r="C7" s="59"/>
      <c r="D7" s="59"/>
      <c r="E7" s="59"/>
      <c r="F7" s="62" t="s">
        <v>335</v>
      </c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</row>
    <row r="8" spans="1:27" ht="6.75" customHeight="1" x14ac:dyDescent="0.25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</row>
    <row r="9" spans="1:27" ht="6.75" customHeight="1" x14ac:dyDescent="0.25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</row>
    <row r="10" spans="1:27" ht="6.75" customHeight="1" x14ac:dyDescent="0.25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</row>
    <row r="11" spans="1:27" ht="35.25" customHeight="1" x14ac:dyDescent="0.25">
      <c r="A11" s="59"/>
      <c r="B11" s="59"/>
      <c r="C11" s="59"/>
      <c r="D11" s="59"/>
      <c r="E11" s="59"/>
      <c r="F11" s="59"/>
      <c r="G11" s="59"/>
      <c r="H11" s="59"/>
      <c r="I11" s="59"/>
      <c r="J11" s="62" t="s">
        <v>336</v>
      </c>
      <c r="K11" s="62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</row>
    <row r="12" spans="1:27" ht="13.2" x14ac:dyDescent="0.25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</row>
    <row r="13" spans="1:27" ht="13.2" x14ac:dyDescent="0.25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</row>
    <row r="14" spans="1:27" ht="13.2" hidden="1" x14ac:dyDescent="0.25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</row>
    <row r="15" spans="1:27" ht="13.2" hidden="1" x14ac:dyDescent="0.2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</row>
    <row r="16" spans="1:27" ht="13.2" hidden="1" x14ac:dyDescent="0.25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</row>
    <row r="17" spans="1:36" ht="13.2" hidden="1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</row>
    <row r="18" spans="1:36" ht="13.2" x14ac:dyDescent="0.25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</row>
    <row r="19" spans="1:36" ht="17.399999999999999" x14ac:dyDescent="0.3">
      <c r="A19" s="64"/>
      <c r="B19" s="64"/>
      <c r="C19" s="64"/>
      <c r="D19" s="64"/>
      <c r="E19" s="64"/>
      <c r="F19" s="65" t="s">
        <v>337</v>
      </c>
      <c r="G19" s="65"/>
      <c r="H19" s="66">
        <v>3</v>
      </c>
      <c r="I19" s="64"/>
      <c r="J19" s="64"/>
      <c r="K19" s="64"/>
      <c r="L19" s="65" t="s">
        <v>338</v>
      </c>
      <c r="M19" s="67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</row>
    <row r="20" spans="1:36" ht="13.2" x14ac:dyDescent="0.25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</row>
    <row r="21" spans="1:36" ht="13.2" x14ac:dyDescent="0.25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</row>
    <row r="22" spans="1:36" ht="15.75" customHeight="1" x14ac:dyDescent="0.3">
      <c r="A22" s="69"/>
      <c r="B22" s="69"/>
      <c r="C22" s="69">
        <v>1</v>
      </c>
      <c r="D22" s="68"/>
      <c r="E22" s="70" t="s">
        <v>339</v>
      </c>
      <c r="F22" s="71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</row>
    <row r="23" spans="1:36" ht="15.75" customHeight="1" x14ac:dyDescent="0.25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</row>
    <row r="24" spans="1:36" ht="15.75" customHeight="1" x14ac:dyDescent="0.3">
      <c r="A24" s="72">
        <v>1</v>
      </c>
      <c r="B24" s="72"/>
      <c r="C24" s="73" t="e">
        <f>VLOOKUP(FALSE,C28:$AA$52,COLUMN($AA$24)-COLUMN(B24),FALSE)</f>
        <v>#N/A</v>
      </c>
      <c r="D24" s="74" t="str">
        <f>IF(ISNA(C24),"","The line " &amp;C24&amp;" is not completed")</f>
        <v/>
      </c>
      <c r="E24" s="72"/>
      <c r="F24" s="72"/>
      <c r="G24" s="72"/>
      <c r="H24" s="72"/>
      <c r="I24" s="72"/>
      <c r="J24" s="72"/>
      <c r="K24" s="73" t="e">
        <f>VLOOKUP(FALSE,K28:$AA$52,COLUMN($AA$24)-COLUMN(J24),FALSE)</f>
        <v>#N/A</v>
      </c>
      <c r="L24" s="74" t="str">
        <f>IF(ISNA(K24),"","The line " &amp;K24&amp;" is not completed")</f>
        <v/>
      </c>
      <c r="M24" s="72"/>
      <c r="N24" s="72"/>
      <c r="O24" s="72"/>
      <c r="P24" s="72"/>
      <c r="Q24" s="72"/>
      <c r="R24" s="72"/>
      <c r="S24" s="73" t="e">
        <f>VLOOKUP(FALSE,S28:$AA$52,COLUMN($AA$24)-COLUMN(R24),FALSE)</f>
        <v>#N/A</v>
      </c>
      <c r="T24" s="74" t="str">
        <f>IF(ISNA(S24),"","The line " &amp;S24&amp;" is not completed")</f>
        <v/>
      </c>
      <c r="U24" s="72"/>
      <c r="V24" s="72"/>
      <c r="W24" s="72"/>
      <c r="X24" s="72"/>
      <c r="Y24" s="72"/>
      <c r="Z24" s="68"/>
      <c r="AA24" s="68"/>
    </row>
    <row r="25" spans="1:36" ht="15.75" customHeight="1" thickBot="1" x14ac:dyDescent="0.3">
      <c r="A25" s="68"/>
      <c r="B25" s="68"/>
      <c r="C25" s="75"/>
      <c r="D25" s="68"/>
      <c r="E25" s="76"/>
      <c r="F25" s="76"/>
      <c r="G25" s="76"/>
      <c r="H25" s="76"/>
      <c r="I25" s="76"/>
      <c r="J25" s="68"/>
      <c r="K25" s="75"/>
      <c r="L25" s="68"/>
      <c r="M25" s="68"/>
      <c r="N25" s="68"/>
      <c r="O25" s="68"/>
      <c r="P25" s="68"/>
      <c r="Q25" s="68"/>
      <c r="R25" s="68"/>
      <c r="S25" s="75"/>
      <c r="T25" s="68"/>
      <c r="U25" s="68"/>
      <c r="V25" s="68"/>
      <c r="W25" s="68"/>
      <c r="X25" s="68"/>
      <c r="Y25" s="68"/>
      <c r="Z25" s="68"/>
      <c r="AA25" s="75"/>
    </row>
    <row r="26" spans="1:36" ht="15.75" customHeight="1" x14ac:dyDescent="0.25">
      <c r="A26" s="68"/>
      <c r="B26" s="68"/>
      <c r="C26" s="75"/>
      <c r="D26" s="77" t="s">
        <v>312</v>
      </c>
      <c r="E26" s="78" t="s">
        <v>314</v>
      </c>
      <c r="F26" s="79" t="s">
        <v>316</v>
      </c>
      <c r="G26" s="80"/>
      <c r="H26" s="79" t="s">
        <v>318</v>
      </c>
      <c r="I26" s="80"/>
      <c r="J26" s="68"/>
      <c r="K26" s="75"/>
      <c r="L26" s="77" t="s">
        <v>312</v>
      </c>
      <c r="M26" s="78" t="s">
        <v>314</v>
      </c>
      <c r="N26" s="79" t="s">
        <v>316</v>
      </c>
      <c r="O26" s="80"/>
      <c r="P26" s="79" t="s">
        <v>318</v>
      </c>
      <c r="Q26" s="80"/>
      <c r="R26" s="68"/>
      <c r="S26" s="75"/>
      <c r="T26" s="77" t="s">
        <v>312</v>
      </c>
      <c r="U26" s="78" t="s">
        <v>314</v>
      </c>
      <c r="V26" s="79" t="s">
        <v>316</v>
      </c>
      <c r="W26" s="80"/>
      <c r="X26" s="79" t="s">
        <v>318</v>
      </c>
      <c r="Y26" s="80"/>
      <c r="Z26" s="68"/>
      <c r="AA26" s="75"/>
      <c r="AB26" s="20" t="s">
        <v>340</v>
      </c>
      <c r="AC26" s="20" t="s">
        <v>341</v>
      </c>
      <c r="AD26" s="20" t="s">
        <v>342</v>
      </c>
      <c r="AG26" s="81" t="s">
        <v>343</v>
      </c>
      <c r="AH26" s="82"/>
      <c r="AI26" s="82"/>
      <c r="AJ26" s="83"/>
    </row>
    <row r="27" spans="1:36" ht="15.75" customHeight="1" x14ac:dyDescent="0.25">
      <c r="A27" s="68"/>
      <c r="B27" s="68"/>
      <c r="C27" s="75"/>
      <c r="D27" s="84"/>
      <c r="E27" s="85"/>
      <c r="F27" s="86" t="s">
        <v>138</v>
      </c>
      <c r="G27" s="87" t="s">
        <v>141</v>
      </c>
      <c r="H27" s="86" t="s">
        <v>138</v>
      </c>
      <c r="I27" s="87" t="s">
        <v>141</v>
      </c>
      <c r="J27" s="68"/>
      <c r="K27" s="75"/>
      <c r="L27" s="84"/>
      <c r="M27" s="85"/>
      <c r="N27" s="86" t="s">
        <v>138</v>
      </c>
      <c r="O27" s="87" t="s">
        <v>141</v>
      </c>
      <c r="P27" s="86" t="s">
        <v>138</v>
      </c>
      <c r="Q27" s="87" t="s">
        <v>141</v>
      </c>
      <c r="R27" s="68"/>
      <c r="S27" s="75"/>
      <c r="T27" s="84"/>
      <c r="U27" s="85"/>
      <c r="V27" s="86" t="s">
        <v>138</v>
      </c>
      <c r="W27" s="87" t="s">
        <v>141</v>
      </c>
      <c r="X27" s="86" t="s">
        <v>138</v>
      </c>
      <c r="Y27" s="87" t="s">
        <v>141</v>
      </c>
      <c r="Z27" s="68"/>
      <c r="AA27" s="75"/>
      <c r="AB27" s="55"/>
      <c r="AC27" s="55"/>
      <c r="AD27" s="88" t="s">
        <v>344</v>
      </c>
      <c r="AG27" s="89"/>
      <c r="AH27" s="90"/>
      <c r="AI27" s="90"/>
      <c r="AJ27" s="91"/>
    </row>
    <row r="28" spans="1:36" ht="15.75" customHeight="1" x14ac:dyDescent="0.25">
      <c r="A28" s="68"/>
      <c r="B28" s="68"/>
      <c r="C28" s="73" t="b">
        <f t="shared" ref="C28:C52" si="0">OR(AND(D28&lt;&gt;0,E28&lt;&gt;0,E28&lt;&gt;$AD$27),AND(D28=0,E28=0,F28=0,G28=0,H28=0,I28=0))</f>
        <v>1</v>
      </c>
      <c r="D28" s="86" t="s">
        <v>52</v>
      </c>
      <c r="E28" s="92" t="s">
        <v>14</v>
      </c>
      <c r="F28" s="93">
        <v>66</v>
      </c>
      <c r="G28" s="94"/>
      <c r="H28" s="93"/>
      <c r="I28" s="94"/>
      <c r="J28" s="68"/>
      <c r="K28" s="73" t="b">
        <f t="shared" ref="K28:K52" si="1">OR(AND(L28&lt;&gt;0,M28&lt;&gt;0,M28&lt;&gt;$AD$27),AND(L28=0,M28=0,N28=0,O28=0,P28=0,Q28=0))</f>
        <v>1</v>
      </c>
      <c r="L28" s="93" t="s">
        <v>52</v>
      </c>
      <c r="M28" s="95" t="s">
        <v>14</v>
      </c>
      <c r="N28" s="93">
        <v>66</v>
      </c>
      <c r="O28" s="94"/>
      <c r="P28" s="93"/>
      <c r="Q28" s="94"/>
      <c r="R28" s="68"/>
      <c r="S28" s="73" t="b">
        <f t="shared" ref="S28:S52" si="2">OR(AND(T28&lt;&gt;0,U28&lt;&gt;0,U28&lt;&gt;$AD$27),AND(T28=0,U28=0,V28=0,W28=0,X28=0,Y28=0))</f>
        <v>1</v>
      </c>
      <c r="T28" s="93"/>
      <c r="U28" s="95"/>
      <c r="V28" s="93"/>
      <c r="W28" s="94"/>
      <c r="X28" s="93"/>
      <c r="Y28" s="94"/>
      <c r="Z28" s="73">
        <f t="shared" ref="Z28:Z52" si="3">IF(AND(T28&lt;&gt;"",U28&lt;&gt;"",U28&lt;&gt;$AD$27),0,1000000000000000)</f>
        <v>1000000000000000</v>
      </c>
      <c r="AA28" s="73">
        <f t="shared" ref="AA28:AA52" si="4">ROW(Y28)</f>
        <v>28</v>
      </c>
      <c r="AB28" s="55" t="s">
        <v>52</v>
      </c>
      <c r="AC28" s="55" t="str">
        <f>Distances!C15</f>
        <v>Arnhem factory</v>
      </c>
      <c r="AG28" s="89"/>
      <c r="AH28" s="90"/>
      <c r="AI28" s="90"/>
      <c r="AJ28" s="91"/>
    </row>
    <row r="29" spans="1:36" ht="15.75" customHeight="1" x14ac:dyDescent="0.25">
      <c r="A29" s="68"/>
      <c r="B29" s="68"/>
      <c r="C29" s="73" t="b">
        <f t="shared" si="0"/>
        <v>1</v>
      </c>
      <c r="D29" s="86" t="s">
        <v>63</v>
      </c>
      <c r="E29" s="92" t="s">
        <v>39</v>
      </c>
      <c r="F29" s="93"/>
      <c r="G29" s="94">
        <v>50</v>
      </c>
      <c r="H29" s="93"/>
      <c r="I29" s="94"/>
      <c r="J29" s="68"/>
      <c r="K29" s="73" t="b">
        <f t="shared" si="1"/>
        <v>1</v>
      </c>
      <c r="L29" s="93" t="s">
        <v>52</v>
      </c>
      <c r="M29" s="95" t="s">
        <v>74</v>
      </c>
      <c r="N29" s="93"/>
      <c r="O29" s="94"/>
      <c r="P29" s="93">
        <v>66</v>
      </c>
      <c r="Q29" s="94"/>
      <c r="R29" s="68"/>
      <c r="S29" s="73" t="b">
        <f t="shared" si="2"/>
        <v>1</v>
      </c>
      <c r="T29" s="93"/>
      <c r="U29" s="95"/>
      <c r="V29" s="93"/>
      <c r="W29" s="94"/>
      <c r="X29" s="93"/>
      <c r="Y29" s="94"/>
      <c r="Z29" s="73">
        <f t="shared" si="3"/>
        <v>1000000000000000</v>
      </c>
      <c r="AA29" s="73">
        <f t="shared" si="4"/>
        <v>29</v>
      </c>
      <c r="AB29" s="55" t="s">
        <v>63</v>
      </c>
      <c r="AC29" s="55" t="str">
        <f>Distances!C16</f>
        <v>Vesoul factory</v>
      </c>
      <c r="AG29" s="89"/>
      <c r="AH29" s="90"/>
      <c r="AI29" s="90"/>
      <c r="AJ29" s="91"/>
    </row>
    <row r="30" spans="1:36" ht="15.75" customHeight="1" x14ac:dyDescent="0.25">
      <c r="A30" s="68"/>
      <c r="B30" s="68"/>
      <c r="C30" s="73" t="b">
        <f t="shared" si="0"/>
        <v>1</v>
      </c>
      <c r="D30" s="86" t="s">
        <v>64</v>
      </c>
      <c r="E30" s="92" t="s">
        <v>65</v>
      </c>
      <c r="F30" s="93"/>
      <c r="G30" s="94"/>
      <c r="H30" s="93"/>
      <c r="I30" s="94"/>
      <c r="J30" s="68"/>
      <c r="K30" s="73" t="b">
        <f t="shared" si="1"/>
        <v>1</v>
      </c>
      <c r="L30" s="93" t="s">
        <v>52</v>
      </c>
      <c r="M30" s="95" t="s">
        <v>14</v>
      </c>
      <c r="N30" s="93"/>
      <c r="O30" s="94"/>
      <c r="P30" s="93"/>
      <c r="Q30" s="94"/>
      <c r="R30" s="68"/>
      <c r="S30" s="73" t="b">
        <f t="shared" si="2"/>
        <v>1</v>
      </c>
      <c r="T30" s="93"/>
      <c r="U30" s="95"/>
      <c r="V30" s="93"/>
      <c r="W30" s="94"/>
      <c r="X30" s="93"/>
      <c r="Y30" s="94"/>
      <c r="Z30" s="73">
        <f t="shared" si="3"/>
        <v>1000000000000000</v>
      </c>
      <c r="AA30" s="73">
        <f t="shared" si="4"/>
        <v>30</v>
      </c>
      <c r="AB30" s="55" t="s">
        <v>64</v>
      </c>
      <c r="AC30" s="55" t="str">
        <f>Distances!C17</f>
        <v>Paris</v>
      </c>
      <c r="AG30" s="89"/>
      <c r="AH30" s="90"/>
      <c r="AI30" s="90"/>
      <c r="AJ30" s="91"/>
    </row>
    <row r="31" spans="1:36" ht="15.75" customHeight="1" x14ac:dyDescent="0.25">
      <c r="A31" s="68"/>
      <c r="B31" s="68"/>
      <c r="C31" s="73" t="b">
        <f t="shared" si="0"/>
        <v>1</v>
      </c>
      <c r="D31" s="93" t="s">
        <v>63</v>
      </c>
      <c r="E31" s="95" t="s">
        <v>81</v>
      </c>
      <c r="F31" s="93"/>
      <c r="G31" s="94"/>
      <c r="H31" s="93"/>
      <c r="I31" s="94">
        <v>19</v>
      </c>
      <c r="J31" s="68"/>
      <c r="K31" s="73" t="b">
        <f t="shared" si="1"/>
        <v>1</v>
      </c>
      <c r="L31" s="93"/>
      <c r="M31" s="95"/>
      <c r="N31" s="93"/>
      <c r="O31" s="94"/>
      <c r="P31" s="93"/>
      <c r="Q31" s="94"/>
      <c r="R31" s="68"/>
      <c r="S31" s="73" t="b">
        <f t="shared" si="2"/>
        <v>1</v>
      </c>
      <c r="T31" s="93"/>
      <c r="U31" s="95"/>
      <c r="V31" s="93"/>
      <c r="W31" s="94"/>
      <c r="X31" s="93"/>
      <c r="Y31" s="94"/>
      <c r="Z31" s="73">
        <f t="shared" si="3"/>
        <v>1000000000000000</v>
      </c>
      <c r="AA31" s="73">
        <f t="shared" si="4"/>
        <v>31</v>
      </c>
      <c r="AC31" s="55" t="str">
        <f>Distances!C18</f>
        <v>Rauma</v>
      </c>
      <c r="AG31" s="89"/>
      <c r="AH31" s="90"/>
      <c r="AI31" s="90"/>
      <c r="AJ31" s="91"/>
    </row>
    <row r="32" spans="1:36" ht="15.75" customHeight="1" x14ac:dyDescent="0.25">
      <c r="A32" s="68"/>
      <c r="B32" s="68"/>
      <c r="C32" s="73" t="b">
        <f t="shared" si="0"/>
        <v>1</v>
      </c>
      <c r="D32" s="93" t="s">
        <v>63</v>
      </c>
      <c r="E32" s="95" t="s">
        <v>74</v>
      </c>
      <c r="F32" s="93">
        <v>19</v>
      </c>
      <c r="G32" s="94"/>
      <c r="H32" s="93"/>
      <c r="I32" s="94">
        <v>15</v>
      </c>
      <c r="J32" s="68"/>
      <c r="K32" s="73" t="b">
        <f t="shared" si="1"/>
        <v>1</v>
      </c>
      <c r="L32" s="93"/>
      <c r="M32" s="95"/>
      <c r="N32" s="93"/>
      <c r="O32" s="94"/>
      <c r="P32" s="93"/>
      <c r="Q32" s="94"/>
      <c r="R32" s="68"/>
      <c r="S32" s="73" t="b">
        <f t="shared" si="2"/>
        <v>1</v>
      </c>
      <c r="T32" s="93"/>
      <c r="U32" s="95"/>
      <c r="V32" s="93"/>
      <c r="W32" s="94"/>
      <c r="X32" s="93"/>
      <c r="Y32" s="94"/>
      <c r="Z32" s="73">
        <f t="shared" si="3"/>
        <v>1000000000000000</v>
      </c>
      <c r="AA32" s="73">
        <f t="shared" si="4"/>
        <v>32</v>
      </c>
      <c r="AC32" s="55" t="str">
        <f>Distances!C19</f>
        <v>Madrid</v>
      </c>
      <c r="AG32" s="89"/>
      <c r="AH32" s="90"/>
      <c r="AI32" s="90"/>
      <c r="AJ32" s="91"/>
    </row>
    <row r="33" spans="1:36" ht="15.75" customHeight="1" x14ac:dyDescent="0.25">
      <c r="A33" s="68"/>
      <c r="B33" s="68"/>
      <c r="C33" s="73" t="b">
        <f t="shared" si="0"/>
        <v>1</v>
      </c>
      <c r="D33" s="93" t="s">
        <v>63</v>
      </c>
      <c r="E33" s="95" t="s">
        <v>80</v>
      </c>
      <c r="F33" s="93"/>
      <c r="G33" s="94"/>
      <c r="H33" s="93">
        <v>19</v>
      </c>
      <c r="I33" s="94">
        <v>16</v>
      </c>
      <c r="J33" s="68"/>
      <c r="K33" s="73" t="b">
        <f t="shared" si="1"/>
        <v>1</v>
      </c>
      <c r="L33" s="93"/>
      <c r="M33" s="95"/>
      <c r="N33" s="93"/>
      <c r="O33" s="94"/>
      <c r="P33" s="93"/>
      <c r="Q33" s="94"/>
      <c r="R33" s="68"/>
      <c r="S33" s="73" t="b">
        <f t="shared" si="2"/>
        <v>1</v>
      </c>
      <c r="T33" s="93"/>
      <c r="U33" s="95"/>
      <c r="V33" s="93"/>
      <c r="W33" s="94"/>
      <c r="X33" s="93"/>
      <c r="Y33" s="94"/>
      <c r="Z33" s="73">
        <f t="shared" si="3"/>
        <v>1000000000000000</v>
      </c>
      <c r="AA33" s="73">
        <f t="shared" si="4"/>
        <v>33</v>
      </c>
      <c r="AC33" s="55" t="str">
        <f>Distances!C20</f>
        <v>Milan</v>
      </c>
      <c r="AG33" s="89"/>
      <c r="AH33" s="90"/>
      <c r="AI33" s="90"/>
      <c r="AJ33" s="91"/>
    </row>
    <row r="34" spans="1:36" ht="15.75" customHeight="1" x14ac:dyDescent="0.25">
      <c r="A34" s="68"/>
      <c r="B34" s="68"/>
      <c r="C34" s="73" t="b">
        <f t="shared" si="0"/>
        <v>1</v>
      </c>
      <c r="D34" s="93" t="s">
        <v>63</v>
      </c>
      <c r="E34" s="95" t="s">
        <v>39</v>
      </c>
      <c r="F34" s="93"/>
      <c r="G34" s="94">
        <v>50</v>
      </c>
      <c r="H34" s="93"/>
      <c r="I34" s="94"/>
      <c r="J34" s="68"/>
      <c r="K34" s="73" t="b">
        <f t="shared" si="1"/>
        <v>1</v>
      </c>
      <c r="L34" s="93"/>
      <c r="M34" s="95"/>
      <c r="N34" s="93"/>
      <c r="O34" s="94"/>
      <c r="P34" s="93"/>
      <c r="Q34" s="94"/>
      <c r="R34" s="68"/>
      <c r="S34" s="73" t="b">
        <f t="shared" si="2"/>
        <v>1</v>
      </c>
      <c r="T34" s="93"/>
      <c r="U34" s="95"/>
      <c r="V34" s="93"/>
      <c r="W34" s="94"/>
      <c r="X34" s="93"/>
      <c r="Y34" s="94"/>
      <c r="Z34" s="73">
        <f t="shared" si="3"/>
        <v>1000000000000000</v>
      </c>
      <c r="AA34" s="73">
        <f t="shared" si="4"/>
        <v>34</v>
      </c>
      <c r="AC34" s="55" t="str">
        <f>Distances!C21</f>
        <v>Rome</v>
      </c>
      <c r="AG34" s="89"/>
      <c r="AH34" s="90"/>
      <c r="AI34" s="90"/>
      <c r="AJ34" s="91"/>
    </row>
    <row r="35" spans="1:36" ht="15.75" customHeight="1" x14ac:dyDescent="0.25">
      <c r="A35" s="68"/>
      <c r="B35" s="68"/>
      <c r="C35" s="73" t="b">
        <f t="shared" si="0"/>
        <v>1</v>
      </c>
      <c r="D35" s="93" t="s">
        <v>52</v>
      </c>
      <c r="E35" s="95" t="s">
        <v>65</v>
      </c>
      <c r="F35" s="93"/>
      <c r="G35" s="94"/>
      <c r="H35" s="93">
        <v>21</v>
      </c>
      <c r="I35" s="94"/>
      <c r="J35" s="68"/>
      <c r="K35" s="73" t="b">
        <f t="shared" si="1"/>
        <v>1</v>
      </c>
      <c r="L35" s="93"/>
      <c r="M35" s="95"/>
      <c r="N35" s="93"/>
      <c r="O35" s="94"/>
      <c r="P35" s="93"/>
      <c r="Q35" s="94"/>
      <c r="R35" s="68"/>
      <c r="S35" s="73" t="b">
        <f t="shared" si="2"/>
        <v>1</v>
      </c>
      <c r="T35" s="93"/>
      <c r="U35" s="95"/>
      <c r="V35" s="93"/>
      <c r="W35" s="94"/>
      <c r="X35" s="93"/>
      <c r="Y35" s="94"/>
      <c r="Z35" s="73">
        <f t="shared" si="3"/>
        <v>1000000000000000</v>
      </c>
      <c r="AA35" s="73">
        <f t="shared" si="4"/>
        <v>35</v>
      </c>
      <c r="AC35" s="55" t="str">
        <f>Distances!C22</f>
        <v>Bucharest</v>
      </c>
      <c r="AG35" s="96"/>
      <c r="AH35" s="97"/>
      <c r="AI35" s="97"/>
      <c r="AJ35" s="98"/>
    </row>
    <row r="36" spans="1:36" ht="15.75" customHeight="1" x14ac:dyDescent="0.25">
      <c r="A36" s="68"/>
      <c r="B36" s="68"/>
      <c r="C36" s="73" t="b">
        <f t="shared" si="0"/>
        <v>1</v>
      </c>
      <c r="D36" s="93" t="s">
        <v>52</v>
      </c>
      <c r="E36" s="95" t="s">
        <v>39</v>
      </c>
      <c r="F36" s="93"/>
      <c r="G36" s="94">
        <v>18</v>
      </c>
      <c r="H36" s="93"/>
      <c r="I36" s="94"/>
      <c r="J36" s="68"/>
      <c r="K36" s="73" t="b">
        <f t="shared" si="1"/>
        <v>1</v>
      </c>
      <c r="L36" s="93"/>
      <c r="M36" s="95"/>
      <c r="N36" s="93"/>
      <c r="O36" s="94"/>
      <c r="P36" s="93"/>
      <c r="Q36" s="94"/>
      <c r="R36" s="68"/>
      <c r="S36" s="73" t="b">
        <f t="shared" si="2"/>
        <v>1</v>
      </c>
      <c r="T36" s="93"/>
      <c r="U36" s="95"/>
      <c r="V36" s="93"/>
      <c r="W36" s="94"/>
      <c r="X36" s="93"/>
      <c r="Y36" s="94"/>
      <c r="Z36" s="73">
        <f t="shared" si="3"/>
        <v>1000000000000000</v>
      </c>
      <c r="AA36" s="73">
        <f t="shared" si="4"/>
        <v>36</v>
      </c>
      <c r="AC36" s="55" t="str">
        <f>Distances!C23</f>
        <v>Budapest</v>
      </c>
    </row>
    <row r="37" spans="1:36" ht="15.75" customHeight="1" x14ac:dyDescent="0.25">
      <c r="A37" s="68"/>
      <c r="B37" s="68"/>
      <c r="C37" s="73" t="b">
        <f t="shared" si="0"/>
        <v>1</v>
      </c>
      <c r="D37" s="93" t="s">
        <v>52</v>
      </c>
      <c r="E37" s="95" t="s">
        <v>77</v>
      </c>
      <c r="F37" s="93"/>
      <c r="G37" s="94"/>
      <c r="H37" s="93">
        <v>31</v>
      </c>
      <c r="I37" s="94">
        <v>17</v>
      </c>
      <c r="J37" s="68"/>
      <c r="K37" s="73" t="b">
        <f t="shared" si="1"/>
        <v>1</v>
      </c>
      <c r="L37" s="93"/>
      <c r="M37" s="95"/>
      <c r="N37" s="93"/>
      <c r="O37" s="94"/>
      <c r="P37" s="93"/>
      <c r="Q37" s="94"/>
      <c r="R37" s="68"/>
      <c r="S37" s="73" t="b">
        <f t="shared" si="2"/>
        <v>1</v>
      </c>
      <c r="T37" s="93"/>
      <c r="U37" s="95"/>
      <c r="V37" s="93"/>
      <c r="W37" s="94"/>
      <c r="X37" s="93"/>
      <c r="Y37" s="94"/>
      <c r="Z37" s="73">
        <f t="shared" si="3"/>
        <v>1000000000000000</v>
      </c>
      <c r="AA37" s="73">
        <f t="shared" si="4"/>
        <v>37</v>
      </c>
      <c r="AC37" s="55" t="str">
        <f>Distances!C24</f>
        <v>Kemijarvi</v>
      </c>
    </row>
    <row r="38" spans="1:36" ht="15.75" customHeight="1" x14ac:dyDescent="0.25">
      <c r="A38" s="68"/>
      <c r="B38" s="68"/>
      <c r="C38" s="73" t="b">
        <f t="shared" si="0"/>
        <v>1</v>
      </c>
      <c r="D38" s="93" t="s">
        <v>52</v>
      </c>
      <c r="E38" s="95" t="s">
        <v>76</v>
      </c>
      <c r="F38" s="93"/>
      <c r="G38" s="94"/>
      <c r="H38" s="93">
        <v>14</v>
      </c>
      <c r="I38" s="94">
        <v>1</v>
      </c>
      <c r="J38" s="68"/>
      <c r="K38" s="73" t="b">
        <f t="shared" si="1"/>
        <v>1</v>
      </c>
      <c r="L38" s="93"/>
      <c r="M38" s="95"/>
      <c r="N38" s="93"/>
      <c r="O38" s="94"/>
      <c r="P38" s="93"/>
      <c r="Q38" s="94"/>
      <c r="R38" s="68"/>
      <c r="S38" s="73" t="b">
        <f t="shared" si="2"/>
        <v>1</v>
      </c>
      <c r="T38" s="93"/>
      <c r="U38" s="95"/>
      <c r="V38" s="93"/>
      <c r="W38" s="94"/>
      <c r="X38" s="93"/>
      <c r="Y38" s="94"/>
      <c r="Z38" s="73">
        <f t="shared" si="3"/>
        <v>1000000000000000</v>
      </c>
      <c r="AA38" s="73">
        <f t="shared" si="4"/>
        <v>38</v>
      </c>
      <c r="AC38" s="55" t="str">
        <f>Distances!C25</f>
        <v>Warsaw</v>
      </c>
    </row>
    <row r="39" spans="1:36" ht="15.75" customHeight="1" x14ac:dyDescent="0.25">
      <c r="A39" s="68"/>
      <c r="B39" s="68"/>
      <c r="C39" s="73" t="b">
        <f t="shared" si="0"/>
        <v>1</v>
      </c>
      <c r="D39" s="93" t="s">
        <v>52</v>
      </c>
      <c r="E39" s="95" t="s">
        <v>14</v>
      </c>
      <c r="F39" s="93">
        <v>66</v>
      </c>
      <c r="G39" s="94"/>
      <c r="H39" s="93"/>
      <c r="I39" s="94"/>
      <c r="J39" s="68"/>
      <c r="K39" s="73" t="b">
        <f t="shared" si="1"/>
        <v>1</v>
      </c>
      <c r="L39" s="93"/>
      <c r="M39" s="95"/>
      <c r="N39" s="93"/>
      <c r="O39" s="94"/>
      <c r="P39" s="93"/>
      <c r="Q39" s="94"/>
      <c r="R39" s="68"/>
      <c r="S39" s="73" t="b">
        <f t="shared" si="2"/>
        <v>1</v>
      </c>
      <c r="T39" s="93"/>
      <c r="U39" s="95"/>
      <c r="V39" s="93"/>
      <c r="W39" s="94"/>
      <c r="X39" s="93"/>
      <c r="Y39" s="94"/>
      <c r="Z39" s="73">
        <f t="shared" si="3"/>
        <v>1000000000000000</v>
      </c>
      <c r="AA39" s="73">
        <f t="shared" si="4"/>
        <v>39</v>
      </c>
      <c r="AC39" s="55" t="str">
        <f>Distances!C26</f>
        <v>Berlin</v>
      </c>
    </row>
    <row r="40" spans="1:36" ht="15.75" customHeight="1" x14ac:dyDescent="0.25">
      <c r="A40" s="68"/>
      <c r="B40" s="68"/>
      <c r="C40" s="73" t="b">
        <f t="shared" si="0"/>
        <v>1</v>
      </c>
      <c r="D40" s="93" t="s">
        <v>52</v>
      </c>
      <c r="E40" s="95" t="s">
        <v>81</v>
      </c>
      <c r="F40" s="93"/>
      <c r="G40" s="94"/>
      <c r="H40" s="93">
        <v>16</v>
      </c>
      <c r="I40" s="94"/>
      <c r="J40" s="68"/>
      <c r="K40" s="73" t="b">
        <f t="shared" si="1"/>
        <v>1</v>
      </c>
      <c r="L40" s="93"/>
      <c r="M40" s="95"/>
      <c r="N40" s="93"/>
      <c r="O40" s="94"/>
      <c r="P40" s="93"/>
      <c r="Q40" s="94"/>
      <c r="R40" s="68"/>
      <c r="S40" s="73" t="b">
        <f t="shared" si="2"/>
        <v>1</v>
      </c>
      <c r="T40" s="93"/>
      <c r="U40" s="95"/>
      <c r="V40" s="93"/>
      <c r="W40" s="94"/>
      <c r="X40" s="93"/>
      <c r="Y40" s="94"/>
      <c r="Z40" s="73">
        <f t="shared" si="3"/>
        <v>1000000000000000</v>
      </c>
      <c r="AA40" s="73">
        <f t="shared" si="4"/>
        <v>40</v>
      </c>
    </row>
    <row r="41" spans="1:36" ht="15.75" customHeight="1" x14ac:dyDescent="0.25">
      <c r="A41" s="68"/>
      <c r="B41" s="68"/>
      <c r="C41" s="73" t="b">
        <f t="shared" si="0"/>
        <v>1</v>
      </c>
      <c r="D41" s="93" t="s">
        <v>52</v>
      </c>
      <c r="E41" s="95" t="s">
        <v>78</v>
      </c>
      <c r="F41" s="93"/>
      <c r="G41" s="94"/>
      <c r="H41" s="93">
        <v>50</v>
      </c>
      <c r="I41" s="94"/>
      <c r="J41" s="68"/>
      <c r="K41" s="73" t="b">
        <f t="shared" si="1"/>
        <v>1</v>
      </c>
      <c r="L41" s="93"/>
      <c r="M41" s="95"/>
      <c r="N41" s="93"/>
      <c r="O41" s="94"/>
      <c r="P41" s="93"/>
      <c r="Q41" s="94"/>
      <c r="R41" s="68"/>
      <c r="S41" s="73" t="b">
        <f t="shared" si="2"/>
        <v>1</v>
      </c>
      <c r="T41" s="93"/>
      <c r="U41" s="95"/>
      <c r="V41" s="93"/>
      <c r="W41" s="94"/>
      <c r="X41" s="93"/>
      <c r="Y41" s="94"/>
      <c r="Z41" s="73">
        <f t="shared" si="3"/>
        <v>1000000000000000</v>
      </c>
      <c r="AA41" s="73">
        <f t="shared" si="4"/>
        <v>41</v>
      </c>
    </row>
    <row r="42" spans="1:36" ht="15.75" customHeight="1" x14ac:dyDescent="0.25">
      <c r="A42" s="68"/>
      <c r="B42" s="68"/>
      <c r="C42" s="73" t="b">
        <f t="shared" si="0"/>
        <v>1</v>
      </c>
      <c r="D42" s="93" t="s">
        <v>52</v>
      </c>
      <c r="E42" s="95" t="s">
        <v>14</v>
      </c>
      <c r="F42" s="93"/>
      <c r="G42" s="94"/>
      <c r="H42" s="93"/>
      <c r="I42" s="94"/>
      <c r="J42" s="68"/>
      <c r="K42" s="73" t="b">
        <f t="shared" si="1"/>
        <v>1</v>
      </c>
      <c r="L42" s="93"/>
      <c r="M42" s="95"/>
      <c r="N42" s="93"/>
      <c r="O42" s="94"/>
      <c r="P42" s="93"/>
      <c r="Q42" s="94"/>
      <c r="R42" s="68"/>
      <c r="S42" s="73" t="b">
        <f t="shared" si="2"/>
        <v>1</v>
      </c>
      <c r="T42" s="93"/>
      <c r="U42" s="95"/>
      <c r="V42" s="93"/>
      <c r="W42" s="94"/>
      <c r="X42" s="93"/>
      <c r="Y42" s="94"/>
      <c r="Z42" s="73">
        <f t="shared" si="3"/>
        <v>1000000000000000</v>
      </c>
      <c r="AA42" s="73">
        <f t="shared" si="4"/>
        <v>42</v>
      </c>
    </row>
    <row r="43" spans="1:36" ht="15.75" customHeight="1" x14ac:dyDescent="0.25">
      <c r="A43" s="68"/>
      <c r="B43" s="68"/>
      <c r="C43" s="73" t="b">
        <f t="shared" si="0"/>
        <v>1</v>
      </c>
      <c r="D43" s="93" t="s">
        <v>63</v>
      </c>
      <c r="E43" s="95" t="s">
        <v>76</v>
      </c>
      <c r="F43" s="93"/>
      <c r="G43" s="94"/>
      <c r="H43" s="93"/>
      <c r="I43" s="94">
        <v>12</v>
      </c>
      <c r="J43" s="68"/>
      <c r="K43" s="73" t="b">
        <f t="shared" si="1"/>
        <v>1</v>
      </c>
      <c r="L43" s="93"/>
      <c r="M43" s="95"/>
      <c r="N43" s="93"/>
      <c r="O43" s="94"/>
      <c r="P43" s="93"/>
      <c r="Q43" s="94"/>
      <c r="R43" s="68"/>
      <c r="S43" s="73" t="b">
        <f t="shared" si="2"/>
        <v>1</v>
      </c>
      <c r="T43" s="93"/>
      <c r="U43" s="95"/>
      <c r="V43" s="93"/>
      <c r="W43" s="94"/>
      <c r="X43" s="93"/>
      <c r="Y43" s="94"/>
      <c r="Z43" s="73">
        <f t="shared" si="3"/>
        <v>1000000000000000</v>
      </c>
      <c r="AA43" s="73">
        <f t="shared" si="4"/>
        <v>43</v>
      </c>
    </row>
    <row r="44" spans="1:36" ht="15.75" customHeight="1" x14ac:dyDescent="0.25">
      <c r="A44" s="68"/>
      <c r="B44" s="68"/>
      <c r="C44" s="73" t="b">
        <f t="shared" si="0"/>
        <v>1</v>
      </c>
      <c r="D44" s="93" t="s">
        <v>63</v>
      </c>
      <c r="E44" s="95" t="s">
        <v>77</v>
      </c>
      <c r="F44" s="93"/>
      <c r="G44" s="94"/>
      <c r="H44" s="93"/>
      <c r="I44" s="94">
        <v>38</v>
      </c>
      <c r="J44" s="68"/>
      <c r="K44" s="73" t="b">
        <f t="shared" si="1"/>
        <v>1</v>
      </c>
      <c r="L44" s="93"/>
      <c r="M44" s="95"/>
      <c r="N44" s="93"/>
      <c r="O44" s="94"/>
      <c r="P44" s="93"/>
      <c r="Q44" s="94"/>
      <c r="R44" s="68"/>
      <c r="S44" s="73" t="b">
        <f t="shared" si="2"/>
        <v>1</v>
      </c>
      <c r="T44" s="93"/>
      <c r="U44" s="95"/>
      <c r="V44" s="93"/>
      <c r="W44" s="94"/>
      <c r="X44" s="93"/>
      <c r="Y44" s="94"/>
      <c r="Z44" s="73">
        <f t="shared" si="3"/>
        <v>1000000000000000</v>
      </c>
      <c r="AA44" s="73">
        <f t="shared" si="4"/>
        <v>44</v>
      </c>
    </row>
    <row r="45" spans="1:36" ht="15.75" customHeight="1" x14ac:dyDescent="0.25">
      <c r="A45" s="68"/>
      <c r="B45" s="68"/>
      <c r="C45" s="73" t="b">
        <f t="shared" si="0"/>
        <v>1</v>
      </c>
      <c r="D45" s="93" t="s">
        <v>63</v>
      </c>
      <c r="E45" s="95" t="s">
        <v>39</v>
      </c>
      <c r="F45" s="93"/>
      <c r="G45" s="94">
        <v>50</v>
      </c>
      <c r="H45" s="93"/>
      <c r="I45" s="94"/>
      <c r="J45" s="68"/>
      <c r="K45" s="73" t="b">
        <f t="shared" si="1"/>
        <v>1</v>
      </c>
      <c r="L45" s="93"/>
      <c r="M45" s="95"/>
      <c r="N45" s="93"/>
      <c r="O45" s="94"/>
      <c r="P45" s="93"/>
      <c r="Q45" s="94"/>
      <c r="R45" s="68"/>
      <c r="S45" s="73" t="b">
        <f t="shared" si="2"/>
        <v>1</v>
      </c>
      <c r="T45" s="93"/>
      <c r="U45" s="95"/>
      <c r="V45" s="93"/>
      <c r="W45" s="94"/>
      <c r="X45" s="93"/>
      <c r="Y45" s="94"/>
      <c r="Z45" s="73">
        <f t="shared" si="3"/>
        <v>1000000000000000</v>
      </c>
      <c r="AA45" s="73">
        <f t="shared" si="4"/>
        <v>45</v>
      </c>
    </row>
    <row r="46" spans="1:36" ht="15.75" customHeight="1" x14ac:dyDescent="0.25">
      <c r="A46" s="68"/>
      <c r="B46" s="68"/>
      <c r="C46" s="73" t="b">
        <f t="shared" si="0"/>
        <v>1</v>
      </c>
      <c r="D46" s="93" t="s">
        <v>63</v>
      </c>
      <c r="E46" s="95" t="s">
        <v>79</v>
      </c>
      <c r="F46" s="93"/>
      <c r="G46" s="94"/>
      <c r="H46" s="93"/>
      <c r="I46" s="94">
        <v>21</v>
      </c>
      <c r="J46" s="68"/>
      <c r="K46" s="73" t="b">
        <f t="shared" si="1"/>
        <v>1</v>
      </c>
      <c r="L46" s="93"/>
      <c r="M46" s="95"/>
      <c r="N46" s="93"/>
      <c r="O46" s="94"/>
      <c r="P46" s="93"/>
      <c r="Q46" s="94"/>
      <c r="R46" s="68"/>
      <c r="S46" s="73" t="b">
        <f t="shared" si="2"/>
        <v>1</v>
      </c>
      <c r="T46" s="93"/>
      <c r="U46" s="95"/>
      <c r="V46" s="93"/>
      <c r="W46" s="94"/>
      <c r="X46" s="93"/>
      <c r="Y46" s="94"/>
      <c r="Z46" s="73">
        <f t="shared" si="3"/>
        <v>1000000000000000</v>
      </c>
      <c r="AA46" s="73">
        <f t="shared" si="4"/>
        <v>46</v>
      </c>
    </row>
    <row r="47" spans="1:36" ht="15.75" customHeight="1" x14ac:dyDescent="0.25">
      <c r="A47" s="68"/>
      <c r="B47" s="68"/>
      <c r="C47" s="73" t="b">
        <f t="shared" si="0"/>
        <v>1</v>
      </c>
      <c r="D47" s="93" t="s">
        <v>63</v>
      </c>
      <c r="E47" s="95" t="s">
        <v>78</v>
      </c>
      <c r="F47" s="93"/>
      <c r="G47" s="94"/>
      <c r="H47" s="93"/>
      <c r="I47" s="94">
        <v>29</v>
      </c>
      <c r="J47" s="68"/>
      <c r="K47" s="73" t="b">
        <f t="shared" si="1"/>
        <v>1</v>
      </c>
      <c r="L47" s="93"/>
      <c r="M47" s="95"/>
      <c r="N47" s="93"/>
      <c r="O47" s="94"/>
      <c r="P47" s="93"/>
      <c r="Q47" s="94"/>
      <c r="R47" s="68"/>
      <c r="S47" s="73" t="b">
        <f t="shared" si="2"/>
        <v>1</v>
      </c>
      <c r="T47" s="93"/>
      <c r="U47" s="95"/>
      <c r="V47" s="93"/>
      <c r="W47" s="94"/>
      <c r="X47" s="93"/>
      <c r="Y47" s="94"/>
      <c r="Z47" s="73">
        <f t="shared" si="3"/>
        <v>1000000000000000</v>
      </c>
      <c r="AA47" s="73">
        <f t="shared" si="4"/>
        <v>47</v>
      </c>
    </row>
    <row r="48" spans="1:36" ht="15.75" customHeight="1" x14ac:dyDescent="0.25">
      <c r="A48" s="68"/>
      <c r="B48" s="68"/>
      <c r="C48" s="73" t="b">
        <f t="shared" si="0"/>
        <v>1</v>
      </c>
      <c r="D48" s="93" t="s">
        <v>63</v>
      </c>
      <c r="E48" s="95" t="s">
        <v>39</v>
      </c>
      <c r="F48" s="93"/>
      <c r="G48" s="94"/>
      <c r="H48" s="93"/>
      <c r="I48" s="94"/>
      <c r="J48" s="68"/>
      <c r="K48" s="73" t="b">
        <f t="shared" si="1"/>
        <v>1</v>
      </c>
      <c r="L48" s="93"/>
      <c r="M48" s="95"/>
      <c r="N48" s="93"/>
      <c r="O48" s="94"/>
      <c r="P48" s="93"/>
      <c r="Q48" s="94"/>
      <c r="R48" s="68"/>
      <c r="S48" s="73" t="b">
        <f t="shared" si="2"/>
        <v>1</v>
      </c>
      <c r="T48" s="93"/>
      <c r="U48" s="95"/>
      <c r="V48" s="93"/>
      <c r="W48" s="94"/>
      <c r="X48" s="93"/>
      <c r="Y48" s="94"/>
      <c r="Z48" s="73">
        <f t="shared" si="3"/>
        <v>1000000000000000</v>
      </c>
      <c r="AA48" s="73">
        <f t="shared" si="4"/>
        <v>48</v>
      </c>
    </row>
    <row r="49" spans="1:27" ht="15.75" customHeight="1" x14ac:dyDescent="0.25">
      <c r="A49" s="68"/>
      <c r="B49" s="68"/>
      <c r="C49" s="73" t="b">
        <f t="shared" si="0"/>
        <v>1</v>
      </c>
      <c r="D49" s="93" t="s">
        <v>64</v>
      </c>
      <c r="E49" s="95" t="s">
        <v>14</v>
      </c>
      <c r="F49" s="93">
        <v>24</v>
      </c>
      <c r="G49" s="94"/>
      <c r="H49" s="93"/>
      <c r="I49" s="94"/>
      <c r="J49" s="68"/>
      <c r="K49" s="73" t="b">
        <f t="shared" si="1"/>
        <v>1</v>
      </c>
      <c r="L49" s="93"/>
      <c r="M49" s="95"/>
      <c r="N49" s="93"/>
      <c r="O49" s="94"/>
      <c r="P49" s="93"/>
      <c r="Q49" s="94"/>
      <c r="R49" s="68"/>
      <c r="S49" s="73" t="b">
        <f t="shared" si="2"/>
        <v>1</v>
      </c>
      <c r="T49" s="93"/>
      <c r="U49" s="95"/>
      <c r="V49" s="93"/>
      <c r="W49" s="94"/>
      <c r="X49" s="93"/>
      <c r="Y49" s="94"/>
      <c r="Z49" s="73">
        <f t="shared" si="3"/>
        <v>1000000000000000</v>
      </c>
      <c r="AA49" s="73">
        <f t="shared" si="4"/>
        <v>49</v>
      </c>
    </row>
    <row r="50" spans="1:27" ht="15.75" customHeight="1" x14ac:dyDescent="0.25">
      <c r="A50" s="68"/>
      <c r="B50" s="68"/>
      <c r="C50" s="73" t="b">
        <f t="shared" si="0"/>
        <v>1</v>
      </c>
      <c r="D50" s="93" t="s">
        <v>64</v>
      </c>
      <c r="E50" s="95" t="s">
        <v>82</v>
      </c>
      <c r="F50" s="93"/>
      <c r="G50" s="94"/>
      <c r="H50" s="93">
        <v>24</v>
      </c>
      <c r="I50" s="94"/>
      <c r="J50" s="68"/>
      <c r="K50" s="73" t="b">
        <f t="shared" si="1"/>
        <v>1</v>
      </c>
      <c r="L50" s="93"/>
      <c r="M50" s="95"/>
      <c r="N50" s="93"/>
      <c r="O50" s="94"/>
      <c r="P50" s="93"/>
      <c r="Q50" s="94"/>
      <c r="R50" s="68"/>
      <c r="S50" s="73" t="b">
        <f t="shared" si="2"/>
        <v>1</v>
      </c>
      <c r="T50" s="86" t="s">
        <v>52</v>
      </c>
      <c r="U50" s="92" t="s">
        <v>14</v>
      </c>
      <c r="V50" s="93"/>
      <c r="W50" s="94"/>
      <c r="X50" s="93"/>
      <c r="Y50" s="94"/>
      <c r="Z50" s="73">
        <f t="shared" si="3"/>
        <v>0</v>
      </c>
      <c r="AA50" s="73">
        <f t="shared" si="4"/>
        <v>50</v>
      </c>
    </row>
    <row r="51" spans="1:27" ht="15.75" customHeight="1" x14ac:dyDescent="0.25">
      <c r="A51" s="68"/>
      <c r="B51" s="68"/>
      <c r="C51" s="73" t="b">
        <f t="shared" si="0"/>
        <v>1</v>
      </c>
      <c r="D51" s="93" t="s">
        <v>64</v>
      </c>
      <c r="E51" s="95" t="s">
        <v>14</v>
      </c>
      <c r="F51" s="93">
        <v>24</v>
      </c>
      <c r="G51" s="94"/>
      <c r="H51" s="93"/>
      <c r="I51" s="94"/>
      <c r="J51" s="68"/>
      <c r="K51" s="73" t="b">
        <f t="shared" si="1"/>
        <v>1</v>
      </c>
      <c r="L51" s="93"/>
      <c r="M51" s="95"/>
      <c r="N51" s="93"/>
      <c r="O51" s="94"/>
      <c r="P51" s="93"/>
      <c r="Q51" s="94"/>
      <c r="R51" s="68"/>
      <c r="S51" s="73" t="b">
        <f t="shared" si="2"/>
        <v>1</v>
      </c>
      <c r="T51" s="86" t="s">
        <v>63</v>
      </c>
      <c r="U51" s="92" t="s">
        <v>39</v>
      </c>
      <c r="V51" s="93"/>
      <c r="W51" s="94"/>
      <c r="X51" s="93"/>
      <c r="Y51" s="94"/>
      <c r="Z51" s="73">
        <f t="shared" si="3"/>
        <v>0</v>
      </c>
      <c r="AA51" s="73">
        <f t="shared" si="4"/>
        <v>51</v>
      </c>
    </row>
    <row r="52" spans="1:27" ht="16.5" customHeight="1" thickBot="1" x14ac:dyDescent="0.3">
      <c r="A52" s="68"/>
      <c r="B52" s="68"/>
      <c r="C52" s="73" t="b">
        <f t="shared" si="0"/>
        <v>1</v>
      </c>
      <c r="D52" s="99" t="s">
        <v>64</v>
      </c>
      <c r="E52" s="100" t="s">
        <v>65</v>
      </c>
      <c r="F52" s="99"/>
      <c r="G52" s="101"/>
      <c r="H52" s="99">
        <v>24</v>
      </c>
      <c r="I52" s="101"/>
      <c r="J52" s="68"/>
      <c r="K52" s="73" t="b">
        <f t="shared" si="1"/>
        <v>1</v>
      </c>
      <c r="L52" s="99"/>
      <c r="M52" s="100"/>
      <c r="N52" s="99"/>
      <c r="O52" s="101"/>
      <c r="P52" s="99"/>
      <c r="Q52" s="101"/>
      <c r="R52" s="68"/>
      <c r="S52" s="73" t="b">
        <f t="shared" si="2"/>
        <v>1</v>
      </c>
      <c r="T52" s="102" t="s">
        <v>64</v>
      </c>
      <c r="U52" s="103" t="s">
        <v>65</v>
      </c>
      <c r="V52" s="99"/>
      <c r="W52" s="101"/>
      <c r="X52" s="99"/>
      <c r="Y52" s="101"/>
      <c r="Z52" s="73">
        <f t="shared" si="3"/>
        <v>0</v>
      </c>
      <c r="AA52" s="73">
        <f t="shared" si="4"/>
        <v>52</v>
      </c>
    </row>
    <row r="53" spans="1:27" ht="15.75" customHeight="1" x14ac:dyDescent="0.25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</row>
    <row r="54" spans="1:27" ht="15.75" customHeight="1" x14ac:dyDescent="0.25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49"/>
      <c r="X54" s="49"/>
      <c r="Y54" s="49"/>
      <c r="Z54" s="49"/>
      <c r="AA54" s="49"/>
    </row>
    <row r="55" spans="1:27" ht="15.75" customHeight="1" x14ac:dyDescent="0.3">
      <c r="A55" s="49"/>
      <c r="B55" s="49"/>
      <c r="C55" s="49"/>
      <c r="D55" s="49"/>
      <c r="E55" s="47" t="s">
        <v>345</v>
      </c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</row>
    <row r="56" spans="1:27" ht="15.75" customHeight="1" thickBot="1" x14ac:dyDescent="0.3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</row>
    <row r="57" spans="1:27" ht="15.75" customHeight="1" thickBot="1" x14ac:dyDescent="0.3">
      <c r="A57" s="49"/>
      <c r="B57" s="49"/>
      <c r="C57" s="49"/>
      <c r="D57" s="49"/>
      <c r="E57" s="105" t="s">
        <v>14</v>
      </c>
      <c r="F57" s="106"/>
      <c r="G57" s="106"/>
      <c r="H57" s="106"/>
      <c r="I57" s="107"/>
      <c r="J57" s="108"/>
      <c r="K57" s="108"/>
      <c r="L57" s="49"/>
      <c r="M57" s="105" t="s">
        <v>39</v>
      </c>
      <c r="N57" s="106"/>
      <c r="O57" s="106"/>
      <c r="P57" s="106"/>
      <c r="Q57" s="107"/>
      <c r="R57" s="49"/>
      <c r="S57" s="49"/>
      <c r="T57" s="49"/>
      <c r="U57" s="49"/>
      <c r="V57" s="49"/>
      <c r="W57" s="49"/>
      <c r="X57" s="49"/>
      <c r="Y57" s="49"/>
      <c r="Z57" s="49"/>
      <c r="AA57" s="49"/>
    </row>
    <row r="58" spans="1:27" ht="15.75" customHeight="1" x14ac:dyDescent="0.2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</row>
    <row r="59" spans="1:27" ht="15.75" customHeight="1" x14ac:dyDescent="0.3">
      <c r="A59" s="47"/>
      <c r="B59" s="47"/>
      <c r="C59" s="47">
        <v>2</v>
      </c>
      <c r="D59" s="49"/>
      <c r="E59" s="46" t="s">
        <v>25</v>
      </c>
      <c r="F59" s="109"/>
      <c r="G59" s="109"/>
      <c r="H59" s="110"/>
      <c r="I59" s="111">
        <v>7</v>
      </c>
      <c r="J59" s="49" t="s">
        <v>294</v>
      </c>
      <c r="K59" s="49"/>
      <c r="L59" s="49"/>
      <c r="M59" s="46" t="s">
        <v>44</v>
      </c>
      <c r="N59" s="109"/>
      <c r="O59" s="109"/>
      <c r="P59" s="110"/>
      <c r="Q59" s="111">
        <v>7</v>
      </c>
      <c r="R59" s="49" t="s">
        <v>296</v>
      </c>
      <c r="S59" s="49"/>
      <c r="T59" s="49"/>
      <c r="U59" s="49"/>
      <c r="V59" s="49"/>
      <c r="W59" s="49"/>
      <c r="X59" s="49"/>
      <c r="Y59" s="49"/>
      <c r="Z59" s="49"/>
      <c r="AA59" s="49"/>
    </row>
    <row r="60" spans="1:27" ht="15.75" customHeight="1" x14ac:dyDescent="0.3">
      <c r="A60" s="47"/>
      <c r="B60" s="47"/>
      <c r="C60" s="47">
        <v>3</v>
      </c>
      <c r="D60" s="49"/>
      <c r="E60" s="46" t="s">
        <v>30</v>
      </c>
      <c r="F60" s="109"/>
      <c r="G60" s="109"/>
      <c r="H60" s="110"/>
      <c r="I60" s="111">
        <v>7</v>
      </c>
      <c r="J60" s="49" t="s">
        <v>190</v>
      </c>
      <c r="K60" s="49"/>
      <c r="L60" s="49"/>
      <c r="M60" s="46" t="s">
        <v>47</v>
      </c>
      <c r="N60" s="109"/>
      <c r="O60" s="109"/>
      <c r="P60" s="110"/>
      <c r="Q60" s="111">
        <v>7</v>
      </c>
      <c r="R60" s="49" t="s">
        <v>190</v>
      </c>
      <c r="S60" s="49"/>
      <c r="T60" s="49"/>
      <c r="U60" s="49"/>
      <c r="V60" s="49"/>
      <c r="W60" s="49"/>
      <c r="X60" s="49"/>
      <c r="Y60" s="49"/>
      <c r="Z60" s="49"/>
      <c r="AA60" s="49"/>
    </row>
    <row r="61" spans="1:27" ht="15.75" customHeight="1" x14ac:dyDescent="0.3">
      <c r="A61" s="47"/>
      <c r="B61" s="47"/>
      <c r="C61" s="47">
        <v>4</v>
      </c>
      <c r="D61" s="49"/>
      <c r="E61" s="46" t="s">
        <v>34</v>
      </c>
      <c r="F61" s="109"/>
      <c r="G61" s="109"/>
      <c r="H61" s="110"/>
      <c r="I61" s="111">
        <v>2</v>
      </c>
      <c r="J61" s="49" t="s">
        <v>299</v>
      </c>
      <c r="K61" s="49"/>
      <c r="L61" s="49"/>
      <c r="M61" s="46" t="s">
        <v>34</v>
      </c>
      <c r="N61" s="109"/>
      <c r="O61" s="109"/>
      <c r="P61" s="110"/>
      <c r="Q61" s="111">
        <v>2</v>
      </c>
      <c r="R61" s="49" t="s">
        <v>299</v>
      </c>
      <c r="S61" s="49"/>
      <c r="T61" s="49"/>
      <c r="U61" s="49"/>
      <c r="V61" s="49"/>
      <c r="W61" s="49"/>
      <c r="X61" s="49"/>
      <c r="Y61" s="49"/>
      <c r="Z61" s="49"/>
      <c r="AA61" s="49"/>
    </row>
    <row r="62" spans="1:27" ht="15.75" customHeight="1" x14ac:dyDescent="0.3">
      <c r="A62" s="47"/>
      <c r="B62" s="47"/>
      <c r="C62" s="47">
        <v>4</v>
      </c>
      <c r="D62" s="49"/>
      <c r="E62" s="46" t="s">
        <v>36</v>
      </c>
      <c r="F62" s="109"/>
      <c r="G62" s="109"/>
      <c r="H62" s="110"/>
      <c r="I62" s="111">
        <v>0</v>
      </c>
      <c r="J62" s="49" t="s">
        <v>299</v>
      </c>
      <c r="K62" s="49"/>
      <c r="L62" s="49"/>
      <c r="M62" s="46" t="s">
        <v>36</v>
      </c>
      <c r="N62" s="109"/>
      <c r="O62" s="109"/>
      <c r="P62" s="110"/>
      <c r="Q62" s="111">
        <v>0</v>
      </c>
      <c r="R62" s="49" t="s">
        <v>299</v>
      </c>
      <c r="S62" s="49"/>
      <c r="T62" s="49"/>
      <c r="U62" s="49"/>
      <c r="V62" s="49"/>
      <c r="W62" s="49"/>
      <c r="X62" s="49"/>
      <c r="Y62" s="49"/>
      <c r="Z62" s="49"/>
      <c r="AA62" s="49"/>
    </row>
    <row r="63" spans="1:27" ht="15.75" customHeight="1" x14ac:dyDescent="0.3">
      <c r="A63" s="47"/>
      <c r="B63" s="47"/>
      <c r="C63" s="47">
        <v>4</v>
      </c>
      <c r="D63" s="49"/>
      <c r="E63" s="46" t="s">
        <v>117</v>
      </c>
      <c r="F63" s="109"/>
      <c r="G63" s="109"/>
      <c r="H63" s="110"/>
      <c r="I63" s="111">
        <v>10</v>
      </c>
      <c r="J63" s="49" t="s">
        <v>192</v>
      </c>
      <c r="K63" s="49"/>
      <c r="L63" s="49"/>
      <c r="M63" s="46" t="s">
        <v>120</v>
      </c>
      <c r="N63" s="109"/>
      <c r="O63" s="109"/>
      <c r="P63" s="110"/>
      <c r="Q63" s="111">
        <v>10</v>
      </c>
      <c r="R63" s="49" t="s">
        <v>192</v>
      </c>
      <c r="S63" s="49"/>
      <c r="T63" s="49"/>
      <c r="U63" s="49"/>
      <c r="V63" s="49"/>
      <c r="W63" s="49"/>
      <c r="X63" s="49"/>
      <c r="Y63" s="49"/>
      <c r="Z63" s="49"/>
      <c r="AA63" s="49"/>
    </row>
    <row r="64" spans="1:27" ht="15.75" customHeight="1" x14ac:dyDescent="0.3">
      <c r="A64" s="47"/>
      <c r="B64" s="47"/>
      <c r="C64" s="47">
        <v>4</v>
      </c>
      <c r="D64" s="49"/>
      <c r="E64" s="46" t="s">
        <v>110</v>
      </c>
      <c r="F64" s="109"/>
      <c r="G64" s="109"/>
      <c r="H64" s="110"/>
      <c r="I64" s="111">
        <v>0</v>
      </c>
      <c r="J64" s="49" t="s">
        <v>346</v>
      </c>
      <c r="K64" s="49"/>
      <c r="L64" s="49"/>
      <c r="M64" s="46" t="s">
        <v>123</v>
      </c>
      <c r="N64" s="109"/>
      <c r="O64" s="109"/>
      <c r="P64" s="110"/>
      <c r="Q64" s="111">
        <v>10</v>
      </c>
      <c r="R64" s="49" t="s">
        <v>199</v>
      </c>
      <c r="S64" s="49"/>
      <c r="T64" s="49"/>
      <c r="U64" s="49"/>
      <c r="V64" s="49"/>
      <c r="W64" s="49"/>
      <c r="X64" s="49"/>
      <c r="Y64" s="49"/>
      <c r="Z64" s="49"/>
      <c r="AA64" s="49"/>
    </row>
    <row r="65" spans="1:27" ht="15.75" customHeight="1" x14ac:dyDescent="0.3">
      <c r="A65" s="47"/>
      <c r="B65" s="47"/>
      <c r="C65" s="47">
        <v>4</v>
      </c>
      <c r="D65" s="49"/>
      <c r="E65" s="46" t="s">
        <v>113</v>
      </c>
      <c r="F65" s="109"/>
      <c r="G65" s="109"/>
      <c r="H65" s="110"/>
      <c r="I65" s="111">
        <v>0</v>
      </c>
      <c r="J65" s="49" t="s">
        <v>346</v>
      </c>
      <c r="K65" s="49"/>
      <c r="L65" s="49"/>
      <c r="M65" s="46" t="s">
        <v>114</v>
      </c>
      <c r="N65" s="109"/>
      <c r="O65" s="109"/>
      <c r="P65" s="110"/>
      <c r="Q65" s="111">
        <v>0</v>
      </c>
      <c r="R65" s="49" t="s">
        <v>346</v>
      </c>
      <c r="S65" s="49"/>
      <c r="T65" s="49"/>
      <c r="U65" s="49"/>
      <c r="V65" s="49"/>
      <c r="W65" s="49"/>
      <c r="X65" s="49"/>
      <c r="Y65" s="49"/>
      <c r="Z65" s="49"/>
      <c r="AA65" s="49"/>
    </row>
    <row r="66" spans="1:27" ht="15.75" customHeight="1" x14ac:dyDescent="0.25">
      <c r="A66" s="49"/>
      <c r="B66" s="49"/>
      <c r="C66" s="49"/>
      <c r="D66" s="49"/>
      <c r="E66" s="49"/>
      <c r="F66" s="49"/>
      <c r="G66" s="49"/>
      <c r="H66" s="49"/>
      <c r="I66" s="104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</row>
    <row r="67" spans="1:27" ht="15.75" customHeight="1" x14ac:dyDescent="0.3">
      <c r="A67" s="112"/>
      <c r="B67" s="112"/>
      <c r="C67" s="112"/>
      <c r="D67" s="113"/>
      <c r="E67" s="113"/>
      <c r="F67" s="113"/>
      <c r="G67" s="113"/>
      <c r="H67" s="113"/>
      <c r="I67" s="114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</row>
    <row r="68" spans="1:27" ht="15.75" customHeight="1" x14ac:dyDescent="0.3">
      <c r="A68" s="112"/>
      <c r="B68" s="112"/>
      <c r="C68" s="112"/>
      <c r="D68" s="113"/>
      <c r="E68" s="112" t="s">
        <v>86</v>
      </c>
      <c r="F68" s="113"/>
      <c r="G68" s="113"/>
      <c r="H68" s="113"/>
      <c r="I68" s="114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</row>
    <row r="69" spans="1:27" ht="15.75" customHeight="1" x14ac:dyDescent="0.25">
      <c r="A69" s="113"/>
      <c r="B69" s="113"/>
      <c r="C69" s="113"/>
      <c r="D69" s="113"/>
      <c r="E69" s="113"/>
      <c r="F69" s="113"/>
      <c r="G69" s="113"/>
      <c r="H69" s="113"/>
      <c r="I69" s="114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</row>
    <row r="70" spans="1:27" ht="15.75" customHeight="1" x14ac:dyDescent="0.3">
      <c r="A70" s="112"/>
      <c r="B70" s="112"/>
      <c r="C70" s="112">
        <v>5</v>
      </c>
      <c r="D70" s="113"/>
      <c r="E70" s="50" t="s">
        <v>105</v>
      </c>
      <c r="F70" s="115"/>
      <c r="G70" s="115"/>
      <c r="H70" s="116"/>
      <c r="I70" s="111">
        <v>96</v>
      </c>
      <c r="J70" s="113" t="s">
        <v>346</v>
      </c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  <c r="AA70" s="113"/>
    </row>
    <row r="71" spans="1:27" ht="15.75" customHeight="1" x14ac:dyDescent="0.3">
      <c r="A71" s="112"/>
      <c r="B71" s="112"/>
      <c r="C71" s="112">
        <v>5</v>
      </c>
      <c r="D71" s="113"/>
      <c r="E71" s="50" t="s">
        <v>106</v>
      </c>
      <c r="F71" s="115"/>
      <c r="G71" s="115"/>
      <c r="H71" s="116"/>
      <c r="I71" s="111">
        <v>15</v>
      </c>
      <c r="J71" s="113" t="s">
        <v>346</v>
      </c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</row>
    <row r="72" spans="1:27" ht="15.75" customHeight="1" x14ac:dyDescent="0.3">
      <c r="A72" s="112"/>
      <c r="B72" s="112"/>
      <c r="C72" s="112">
        <v>5</v>
      </c>
      <c r="D72" s="113"/>
      <c r="E72" s="50" t="s">
        <v>107</v>
      </c>
      <c r="F72" s="115"/>
      <c r="G72" s="115"/>
      <c r="H72" s="116"/>
      <c r="I72" s="111">
        <v>9</v>
      </c>
      <c r="J72" s="113" t="s">
        <v>346</v>
      </c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  <c r="AA72" s="113"/>
    </row>
    <row r="73" spans="1:27" ht="15.75" customHeight="1" x14ac:dyDescent="0.25">
      <c r="A73" s="113"/>
      <c r="B73" s="113"/>
      <c r="C73" s="113"/>
      <c r="D73" s="113"/>
      <c r="E73" s="113"/>
      <c r="F73" s="113"/>
      <c r="G73" s="113"/>
      <c r="H73" s="113"/>
      <c r="I73" s="114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  <c r="AA73" s="113"/>
    </row>
    <row r="74" spans="1:27" ht="15.75" customHeight="1" x14ac:dyDescent="0.25">
      <c r="A74" s="117"/>
      <c r="B74" s="117"/>
      <c r="C74" s="117"/>
      <c r="D74" s="117"/>
      <c r="E74" s="117"/>
      <c r="F74" s="117"/>
      <c r="G74" s="117"/>
      <c r="H74" s="117"/>
      <c r="I74" s="118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</row>
    <row r="75" spans="1:27" ht="15.75" customHeight="1" x14ac:dyDescent="0.3">
      <c r="A75" s="51"/>
      <c r="B75" s="51"/>
      <c r="C75" s="51"/>
      <c r="D75" s="117"/>
      <c r="E75" s="51" t="s">
        <v>347</v>
      </c>
      <c r="F75" s="117"/>
      <c r="G75" s="117"/>
      <c r="H75" s="117"/>
      <c r="I75" s="118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  <c r="AA75" s="117"/>
    </row>
    <row r="76" spans="1:27" ht="15.75" customHeight="1" thickBot="1" x14ac:dyDescent="0.3">
      <c r="A76" s="117"/>
      <c r="B76" s="117"/>
      <c r="C76" s="117"/>
      <c r="D76" s="117"/>
      <c r="E76" s="117"/>
      <c r="F76" s="117"/>
      <c r="G76" s="117"/>
      <c r="H76" s="117"/>
      <c r="I76" s="118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</row>
    <row r="77" spans="1:27" ht="15.75" customHeight="1" thickBot="1" x14ac:dyDescent="0.3">
      <c r="A77" s="117"/>
      <c r="B77" s="117"/>
      <c r="C77" s="117"/>
      <c r="D77" s="117"/>
      <c r="E77" s="119" t="s">
        <v>48</v>
      </c>
      <c r="F77" s="120"/>
      <c r="G77" s="120"/>
      <c r="H77" s="120"/>
      <c r="I77" s="121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  <c r="AA77" s="117"/>
    </row>
    <row r="78" spans="1:27" ht="15.75" customHeight="1" x14ac:dyDescent="0.25">
      <c r="A78" s="117"/>
      <c r="B78" s="117"/>
      <c r="C78" s="117"/>
      <c r="D78" s="117"/>
      <c r="E78" s="117"/>
      <c r="F78" s="117"/>
      <c r="G78" s="117"/>
      <c r="H78" s="117"/>
      <c r="I78" s="118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</row>
    <row r="79" spans="1:27" ht="15.75" customHeight="1" x14ac:dyDescent="0.3">
      <c r="A79" s="51"/>
      <c r="B79" s="51"/>
      <c r="C79" s="51">
        <v>6</v>
      </c>
      <c r="D79" s="117"/>
      <c r="E79" s="52" t="s">
        <v>49</v>
      </c>
      <c r="F79" s="122"/>
      <c r="G79" s="122"/>
      <c r="H79" s="123"/>
      <c r="I79" s="111">
        <v>24</v>
      </c>
      <c r="J79" s="117" t="s">
        <v>310</v>
      </c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  <c r="AA79" s="117"/>
    </row>
    <row r="80" spans="1:27" ht="15.75" customHeight="1" x14ac:dyDescent="0.3">
      <c r="A80" s="51"/>
      <c r="B80" s="51"/>
      <c r="C80" s="51">
        <v>7</v>
      </c>
      <c r="D80" s="117"/>
      <c r="E80" s="52" t="s">
        <v>34</v>
      </c>
      <c r="F80" s="122"/>
      <c r="G80" s="122"/>
      <c r="H80" s="123"/>
      <c r="I80" s="111">
        <v>0</v>
      </c>
      <c r="J80" s="117" t="s">
        <v>299</v>
      </c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</row>
    <row r="81" spans="1:27" ht="15.75" customHeight="1" x14ac:dyDescent="0.3">
      <c r="A81" s="51"/>
      <c r="B81" s="51"/>
      <c r="C81" s="51">
        <v>7</v>
      </c>
      <c r="D81" s="117"/>
      <c r="E81" s="52" t="s">
        <v>36</v>
      </c>
      <c r="F81" s="122"/>
      <c r="G81" s="122"/>
      <c r="H81" s="123"/>
      <c r="I81" s="111">
        <v>0</v>
      </c>
      <c r="J81" s="117" t="s">
        <v>299</v>
      </c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117"/>
    </row>
    <row r="82" spans="1:27" ht="15.75" customHeight="1" x14ac:dyDescent="0.3">
      <c r="A82" s="51"/>
      <c r="B82" s="51"/>
      <c r="C82" s="51">
        <v>7</v>
      </c>
      <c r="D82" s="117"/>
      <c r="E82" s="52" t="s">
        <v>50</v>
      </c>
      <c r="F82" s="122"/>
      <c r="G82" s="122"/>
      <c r="H82" s="123"/>
      <c r="I82" s="111">
        <v>0</v>
      </c>
      <c r="J82" s="117" t="s">
        <v>346</v>
      </c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</row>
    <row r="83" spans="1:27" ht="15.75" customHeight="1" x14ac:dyDescent="0.3">
      <c r="A83" s="51"/>
      <c r="B83" s="51"/>
      <c r="C83" s="51">
        <v>7</v>
      </c>
      <c r="D83" s="117"/>
      <c r="E83" s="52" t="s">
        <v>51</v>
      </c>
      <c r="F83" s="122"/>
      <c r="G83" s="122"/>
      <c r="H83" s="123"/>
      <c r="I83" s="111">
        <v>0</v>
      </c>
      <c r="J83" s="117" t="s">
        <v>346</v>
      </c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  <c r="AA83" s="117"/>
    </row>
    <row r="84" spans="1:27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</row>
  </sheetData>
  <dataConsolidate/>
  <mergeCells count="7">
    <mergeCell ref="AG26:AJ35"/>
    <mergeCell ref="D26:D27"/>
    <mergeCell ref="E26:E27"/>
    <mergeCell ref="L26:L27"/>
    <mergeCell ref="M26:M27"/>
    <mergeCell ref="T26:T27"/>
    <mergeCell ref="U26:U27"/>
  </mergeCells>
  <conditionalFormatting sqref="U28:U52 E28:E52 M28:M52">
    <cfRule type="expression" dxfId="5" priority="1" stopIfTrue="1">
      <formula>OR(D28=0,E28=0,E28=$AD$27)</formula>
    </cfRule>
  </conditionalFormatting>
  <conditionalFormatting sqref="T28:T52 D28:D52 L28:L52">
    <cfRule type="expression" dxfId="4" priority="2" stopIfTrue="1">
      <formula>OR(D28=0,E28=0,E28=$AD$27)</formula>
    </cfRule>
  </conditionalFormatting>
  <conditionalFormatting sqref="F28:F52 V28:V52 N28:N52">
    <cfRule type="expression" dxfId="3" priority="3" stopIfTrue="1">
      <formula>OR(D28=0,E28=0,E28=$AD$27)</formula>
    </cfRule>
  </conditionalFormatting>
  <conditionalFormatting sqref="W28:W52 G28:G52 O28:O52">
    <cfRule type="expression" dxfId="2" priority="4" stopIfTrue="1">
      <formula>OR(D28=0,E28=0,E28=$AD$27)</formula>
    </cfRule>
  </conditionalFormatting>
  <conditionalFormatting sqref="H28:H52 X28:X52 P28:P52">
    <cfRule type="expression" dxfId="1" priority="5" stopIfTrue="1">
      <formula>OR(D28=0,E28=0,E28=$AD$27)</formula>
    </cfRule>
  </conditionalFormatting>
  <conditionalFormatting sqref="I28:I52 Y28:Y52 Q28:Q52">
    <cfRule type="expression" dxfId="0" priority="6" stopIfTrue="1">
      <formula>OR(D28=0,E28=0,E28=$AD$27)</formula>
    </cfRule>
  </conditionalFormatting>
  <dataValidations count="8">
    <dataValidation type="list" allowBlank="1" showInputMessage="1" showErrorMessage="1" sqref="E28:E52 U28:U52 M28:M52" xr:uid="{19309AD3-F0E4-41C1-9679-A82B7C6F253E}">
      <formula1>CHOOSE(IF(D28&lt;&gt;"",1,2),$AC$27:$AC$39,$AD$27)</formula1>
    </dataValidation>
    <dataValidation type="whole" operator="greaterThanOrEqual" allowBlank="1" showErrorMessage="1" errorTitle="Error" error="You may enter a positive integer, after having chosen a lorry and a town." sqref="V28:V52 F28:F52 N28:N52" xr:uid="{E41DF746-FA78-4235-BD23-166913A25433}">
      <formula1>J28</formula1>
    </dataValidation>
    <dataValidation type="whole" operator="greaterThanOrEqual" allowBlank="1" showErrorMessage="1" errorTitle="Error" error="You may enter a positive integer, after having chosen a lorry and a town." sqref="G28:G52 W28:W52 O28:O52" xr:uid="{52188B91-9CB8-49B6-9464-372650FB73B2}">
      <formula1>J28</formula1>
    </dataValidation>
    <dataValidation type="whole" operator="greaterThanOrEqual" allowBlank="1" showErrorMessage="1" errorTitle="Error" error="You may enter a positive integer, after having chosen a lorry and a town." sqref="X28:X52 H28:H52 P28:P52" xr:uid="{B861379C-7D8D-4446-A1AD-2D2DBADCE7A1}">
      <formula1>J28</formula1>
    </dataValidation>
    <dataValidation type="whole" operator="greaterThanOrEqual" allowBlank="1" showErrorMessage="1" errorTitle="Error" error="You may enter a positive integer, after having chosen a lorry and a town." sqref="Y28:Y52 I28:I52 Q28:Q52" xr:uid="{5555B0E3-AF31-4511-8F47-4F1C3EE0A9B9}">
      <formula1>J28</formula1>
    </dataValidation>
    <dataValidation type="whole" operator="greaterThanOrEqual" allowBlank="1" showErrorMessage="1" errorTitle="Erreur de saisie" error="Vous devez entrer un nombre entier supérieur ou égal à 0." sqref="Q59:Q65 I79:I83 I59:I65 I70:I72" xr:uid="{F57614E1-1640-440E-94F5-67F03FB0C545}">
      <formula1>0</formula1>
    </dataValidation>
    <dataValidation type="list" allowBlank="1" showInputMessage="1" showErrorMessage="1" sqref="T28:T52 D29:D52 L28:L52" xr:uid="{DFEECB66-C8E4-4120-BB4B-E54E755DA006}">
      <formula1>$AB$27:$AB$30</formula1>
    </dataValidation>
    <dataValidation type="list" allowBlank="1" showInputMessage="1" showErrorMessage="1" sqref="D28" xr:uid="{85E78C35-DE38-48E9-8554-0D706A825E29}">
      <formula1>$AB$28:$AB$30</formula1>
    </dataValidation>
  </dataValidations>
  <pageMargins left="0.78740157499999996" right="0.78740157499999996" top="0.984251969" bottom="0.984251969" header="0.4921259845" footer="0.4921259845"/>
  <pageSetup paperSize="9" scale="64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Button 1">
              <controlPr defaultSize="0" print="0" autoFill="0" autoPict="0" macro="[1]!decision">
                <anchor moveWithCells="1" sizeWithCells="1">
                  <from>
                    <xdr:col>20</xdr:col>
                    <xdr:colOff>335280</xdr:colOff>
                    <xdr:row>5</xdr:row>
                    <xdr:rowOff>30480</xdr:rowOff>
                  </from>
                  <to>
                    <xdr:col>24</xdr:col>
                    <xdr:colOff>411480</xdr:colOff>
                    <xdr:row>10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Button 2">
              <controlPr defaultSize="0" print="0" autoFill="0" autoPict="0" macro="[1]!Animation">
                <anchor moveWithCells="1" sizeWithCells="1">
                  <from>
                    <xdr:col>20</xdr:col>
                    <xdr:colOff>335280</xdr:colOff>
                    <xdr:row>1</xdr:row>
                    <xdr:rowOff>381000</xdr:rowOff>
                  </from>
                  <to>
                    <xdr:col>24</xdr:col>
                    <xdr:colOff>411480</xdr:colOff>
                    <xdr:row>2</xdr:row>
                    <xdr:rowOff>312420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Button 3">
              <controlPr defaultSize="0" print="0" autoFill="0" autoPict="0" macro="[1]!retablir">
                <anchor moveWithCells="1" sizeWithCells="1">
                  <from>
                    <xdr:col>30</xdr:col>
                    <xdr:colOff>198120</xdr:colOff>
                    <xdr:row>2</xdr:row>
                    <xdr:rowOff>30480</xdr:rowOff>
                  </from>
                  <to>
                    <xdr:col>31</xdr:col>
                    <xdr:colOff>0</xdr:colOff>
                    <xdr:row>3</xdr:row>
                    <xdr:rowOff>160020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3039F-1AFB-403E-BFA8-D8AD367B7FCE}">
  <dimension ref="A1:P236"/>
  <sheetViews>
    <sheetView workbookViewId="0"/>
  </sheetViews>
  <sheetFormatPr baseColWidth="10" defaultColWidth="15.6640625" defaultRowHeight="13.2" x14ac:dyDescent="0.25"/>
  <cols>
    <col min="1" max="1" width="16.44140625" style="22" bestFit="1" customWidth="1"/>
    <col min="2" max="3" width="11.44140625" style="2" customWidth="1"/>
    <col min="4" max="4" width="13.44140625" style="2" bestFit="1" customWidth="1"/>
    <col min="5" max="16384" width="15.6640625" style="2"/>
  </cols>
  <sheetData>
    <row r="1" spans="1:16" x14ac:dyDescent="0.25">
      <c r="A1" s="22" t="s">
        <v>348</v>
      </c>
      <c r="B1" s="22">
        <v>3</v>
      </c>
    </row>
    <row r="2" spans="1:16" x14ac:dyDescent="0.25">
      <c r="A2" s="22" t="s">
        <v>349</v>
      </c>
      <c r="B2" s="22">
        <v>2</v>
      </c>
    </row>
    <row r="5" spans="1:16" x14ac:dyDescent="0.25">
      <c r="D5" s="2" t="s">
        <v>350</v>
      </c>
      <c r="E5" s="2" t="s">
        <v>351</v>
      </c>
      <c r="F5" s="2" t="s">
        <v>352</v>
      </c>
      <c r="G5" s="2" t="s">
        <v>353</v>
      </c>
      <c r="H5" s="2" t="s">
        <v>354</v>
      </c>
      <c r="I5" s="2" t="s">
        <v>355</v>
      </c>
      <c r="J5" s="2" t="s">
        <v>356</v>
      </c>
      <c r="K5" s="2" t="s">
        <v>357</v>
      </c>
      <c r="L5" s="2" t="s">
        <v>358</v>
      </c>
      <c r="M5" s="2" t="s">
        <v>359</v>
      </c>
      <c r="N5" s="2" t="s">
        <v>360</v>
      </c>
      <c r="O5" s="2" t="s">
        <v>361</v>
      </c>
      <c r="P5" s="2" t="s">
        <v>362</v>
      </c>
    </row>
    <row r="6" spans="1:16" x14ac:dyDescent="0.25">
      <c r="A6" s="124" t="s">
        <v>1</v>
      </c>
    </row>
    <row r="7" spans="1:16" x14ac:dyDescent="0.25">
      <c r="A7" s="22" t="s">
        <v>5</v>
      </c>
      <c r="D7" s="7" t="s">
        <v>363</v>
      </c>
      <c r="E7" s="7">
        <v>11454.5</v>
      </c>
      <c r="F7" s="7">
        <v>-55172</v>
      </c>
      <c r="G7" s="7">
        <v>-80030.5</v>
      </c>
    </row>
    <row r="8" spans="1:16" x14ac:dyDescent="0.25">
      <c r="A8" s="22" t="s">
        <v>13</v>
      </c>
      <c r="D8" s="11"/>
      <c r="E8" s="11">
        <v>340808.32</v>
      </c>
      <c r="F8" s="11">
        <v>722862.9600000002</v>
      </c>
      <c r="G8" s="11">
        <v>1097077.44</v>
      </c>
    </row>
    <row r="10" spans="1:16" x14ac:dyDescent="0.25">
      <c r="A10" s="124" t="s">
        <v>48</v>
      </c>
    </row>
    <row r="11" spans="1:16" x14ac:dyDescent="0.25">
      <c r="A11" s="22" t="s">
        <v>26</v>
      </c>
      <c r="D11" s="2">
        <v>15</v>
      </c>
      <c r="E11" s="2">
        <v>15</v>
      </c>
      <c r="F11" s="125">
        <v>24</v>
      </c>
      <c r="G11" s="125">
        <v>24</v>
      </c>
    </row>
    <row r="12" spans="1:16" x14ac:dyDescent="0.25">
      <c r="A12" s="22" t="s">
        <v>27</v>
      </c>
      <c r="D12" s="2">
        <v>60</v>
      </c>
      <c r="E12" s="2">
        <v>60</v>
      </c>
      <c r="F12" s="125">
        <v>96</v>
      </c>
      <c r="G12" s="125">
        <v>96</v>
      </c>
    </row>
    <row r="13" spans="1:16" x14ac:dyDescent="0.25">
      <c r="A13" s="22" t="s">
        <v>31</v>
      </c>
      <c r="D13" s="2">
        <v>5</v>
      </c>
      <c r="E13" s="2">
        <v>8</v>
      </c>
      <c r="F13" s="125">
        <v>8</v>
      </c>
      <c r="G13" s="125">
        <v>8</v>
      </c>
    </row>
    <row r="14" spans="1:16" x14ac:dyDescent="0.25">
      <c r="A14" s="22" t="s">
        <v>19</v>
      </c>
      <c r="D14" s="126"/>
      <c r="E14" s="126">
        <v>0</v>
      </c>
      <c r="F14" s="126">
        <v>0</v>
      </c>
      <c r="G14" s="126">
        <v>0</v>
      </c>
    </row>
    <row r="15" spans="1:16" x14ac:dyDescent="0.25">
      <c r="A15" s="22" t="s">
        <v>50</v>
      </c>
      <c r="D15" s="7"/>
      <c r="E15" s="7">
        <v>0</v>
      </c>
      <c r="F15" s="7">
        <v>0</v>
      </c>
      <c r="G15" s="7">
        <v>0</v>
      </c>
    </row>
    <row r="16" spans="1:16" x14ac:dyDescent="0.25">
      <c r="A16" s="22" t="s">
        <v>51</v>
      </c>
      <c r="D16" s="7"/>
      <c r="E16" s="7">
        <v>0</v>
      </c>
      <c r="F16" s="7">
        <v>0</v>
      </c>
      <c r="G16" s="7">
        <v>0</v>
      </c>
    </row>
    <row r="17" spans="1:7" x14ac:dyDescent="0.25">
      <c r="A17" s="22" t="s">
        <v>20</v>
      </c>
      <c r="D17" s="7"/>
      <c r="E17" s="7">
        <v>150000</v>
      </c>
      <c r="F17" s="7">
        <v>240000</v>
      </c>
      <c r="G17" s="7">
        <v>240000</v>
      </c>
    </row>
    <row r="18" spans="1:7" x14ac:dyDescent="0.25">
      <c r="A18" s="22" t="s">
        <v>28</v>
      </c>
      <c r="D18" s="7"/>
      <c r="E18" s="7">
        <v>0</v>
      </c>
      <c r="F18" s="7">
        <v>0</v>
      </c>
      <c r="G18" s="7">
        <v>0</v>
      </c>
    </row>
    <row r="19" spans="1:7" x14ac:dyDescent="0.25">
      <c r="A19" s="22" t="s">
        <v>29</v>
      </c>
      <c r="D19" s="7"/>
      <c r="E19" s="7">
        <v>0</v>
      </c>
      <c r="F19" s="7">
        <v>0</v>
      </c>
      <c r="G19" s="7">
        <v>0</v>
      </c>
    </row>
    <row r="20" spans="1:7" x14ac:dyDescent="0.25">
      <c r="A20" s="22" t="s">
        <v>32</v>
      </c>
      <c r="D20" s="7"/>
      <c r="E20" s="7">
        <v>6000</v>
      </c>
      <c r="F20" s="7">
        <v>0</v>
      </c>
      <c r="G20" s="7">
        <v>0</v>
      </c>
    </row>
    <row r="21" spans="1:7" x14ac:dyDescent="0.25">
      <c r="A21" s="22" t="s">
        <v>35</v>
      </c>
      <c r="D21" s="7"/>
      <c r="E21" s="7">
        <v>0</v>
      </c>
      <c r="F21" s="7">
        <v>0</v>
      </c>
      <c r="G21" s="7">
        <v>0</v>
      </c>
    </row>
    <row r="22" spans="1:7" x14ac:dyDescent="0.25">
      <c r="A22" s="22" t="s">
        <v>33</v>
      </c>
      <c r="D22" s="7"/>
      <c r="E22" s="7">
        <v>15000</v>
      </c>
      <c r="F22" s="7">
        <v>24000</v>
      </c>
      <c r="G22" s="7">
        <v>24000</v>
      </c>
    </row>
    <row r="23" spans="1:7" x14ac:dyDescent="0.25">
      <c r="A23" s="22" t="s">
        <v>21</v>
      </c>
      <c r="D23" s="11"/>
      <c r="E23" s="11">
        <v>150000</v>
      </c>
      <c r="F23" s="11">
        <v>240000</v>
      </c>
      <c r="G23" s="11">
        <v>240000</v>
      </c>
    </row>
    <row r="25" spans="1:7" x14ac:dyDescent="0.25">
      <c r="A25" s="124" t="s">
        <v>86</v>
      </c>
    </row>
    <row r="26" spans="1:7" x14ac:dyDescent="0.25">
      <c r="A26" s="22" t="s">
        <v>104</v>
      </c>
      <c r="D26" s="7"/>
      <c r="E26" s="7">
        <v>15000</v>
      </c>
      <c r="F26" s="7">
        <v>15000</v>
      </c>
      <c r="G26" s="7">
        <v>24000</v>
      </c>
    </row>
    <row r="27" spans="1:7" x14ac:dyDescent="0.25">
      <c r="A27" s="22" t="s">
        <v>21</v>
      </c>
      <c r="D27" s="11"/>
      <c r="E27" s="11">
        <v>14250</v>
      </c>
      <c r="F27" s="11">
        <v>14250</v>
      </c>
      <c r="G27" s="11">
        <v>22800</v>
      </c>
    </row>
    <row r="29" spans="1:7" x14ac:dyDescent="0.25">
      <c r="A29" s="124" t="s">
        <v>88</v>
      </c>
    </row>
    <row r="30" spans="1:7" x14ac:dyDescent="0.25">
      <c r="A30" s="22" t="s">
        <v>108</v>
      </c>
      <c r="D30" s="7"/>
      <c r="E30" s="7">
        <v>0</v>
      </c>
      <c r="F30" s="7">
        <v>0</v>
      </c>
      <c r="G30" s="7">
        <v>0</v>
      </c>
    </row>
    <row r="31" spans="1:7" x14ac:dyDescent="0.25">
      <c r="A31" s="22" t="s">
        <v>111</v>
      </c>
      <c r="D31" s="7"/>
      <c r="E31" s="7">
        <v>0</v>
      </c>
      <c r="F31" s="7">
        <v>0</v>
      </c>
      <c r="G31" s="7">
        <v>0</v>
      </c>
    </row>
    <row r="32" spans="1:7" x14ac:dyDescent="0.25">
      <c r="A32" s="22" t="s">
        <v>115</v>
      </c>
      <c r="D32" s="7"/>
      <c r="E32" s="7">
        <v>20000</v>
      </c>
      <c r="F32" s="7">
        <v>10000</v>
      </c>
      <c r="G32" s="7">
        <v>10000</v>
      </c>
    </row>
    <row r="33" spans="1:7" x14ac:dyDescent="0.25">
      <c r="A33" s="22" t="s">
        <v>118</v>
      </c>
      <c r="D33" s="7"/>
      <c r="E33" s="7">
        <v>60000</v>
      </c>
      <c r="F33" s="7">
        <v>30000</v>
      </c>
      <c r="G33" s="7">
        <v>30000</v>
      </c>
    </row>
    <row r="34" spans="1:7" x14ac:dyDescent="0.25">
      <c r="A34" s="22" t="s">
        <v>121</v>
      </c>
      <c r="D34" s="7"/>
      <c r="E34" s="7">
        <v>8000</v>
      </c>
      <c r="F34" s="7">
        <v>4000</v>
      </c>
      <c r="G34" s="7">
        <v>4000</v>
      </c>
    </row>
    <row r="35" spans="1:7" x14ac:dyDescent="0.25">
      <c r="A35" s="22" t="s">
        <v>109</v>
      </c>
      <c r="D35" s="11"/>
      <c r="E35" s="11">
        <v>0</v>
      </c>
      <c r="F35" s="11">
        <v>0</v>
      </c>
      <c r="G35" s="11">
        <v>0</v>
      </c>
    </row>
    <row r="36" spans="1:7" x14ac:dyDescent="0.25">
      <c r="A36" s="22" t="s">
        <v>112</v>
      </c>
      <c r="D36" s="11"/>
      <c r="E36" s="11">
        <v>0</v>
      </c>
      <c r="F36" s="11">
        <v>0</v>
      </c>
      <c r="G36" s="11">
        <v>0</v>
      </c>
    </row>
    <row r="37" spans="1:7" x14ac:dyDescent="0.25">
      <c r="A37" s="22" t="s">
        <v>116</v>
      </c>
      <c r="D37" s="11"/>
      <c r="E37" s="11">
        <v>18000</v>
      </c>
      <c r="F37" s="11">
        <v>9000</v>
      </c>
      <c r="G37" s="11">
        <v>9000</v>
      </c>
    </row>
    <row r="38" spans="1:7" x14ac:dyDescent="0.25">
      <c r="A38" s="22" t="s">
        <v>119</v>
      </c>
      <c r="D38" s="11"/>
      <c r="E38" s="11">
        <v>80000</v>
      </c>
      <c r="F38" s="11">
        <v>40000</v>
      </c>
      <c r="G38" s="11">
        <v>40000</v>
      </c>
    </row>
    <row r="39" spans="1:7" x14ac:dyDescent="0.25">
      <c r="A39" s="22" t="s">
        <v>122</v>
      </c>
      <c r="D39" s="11"/>
      <c r="E39" s="11">
        <v>6000</v>
      </c>
      <c r="F39" s="11">
        <v>3000</v>
      </c>
      <c r="G39" s="11">
        <v>3000</v>
      </c>
    </row>
    <row r="41" spans="1:7" x14ac:dyDescent="0.25">
      <c r="A41" s="124" t="s">
        <v>14</v>
      </c>
    </row>
    <row r="42" spans="1:7" x14ac:dyDescent="0.25">
      <c r="A42" s="22" t="s">
        <v>16</v>
      </c>
      <c r="D42" s="2">
        <v>300</v>
      </c>
      <c r="E42" s="2">
        <v>472</v>
      </c>
      <c r="F42" s="125">
        <v>282</v>
      </c>
      <c r="G42" s="125">
        <v>246</v>
      </c>
    </row>
    <row r="43" spans="1:7" x14ac:dyDescent="0.25">
      <c r="A43" s="22" t="s">
        <v>17</v>
      </c>
      <c r="D43" s="2">
        <v>10</v>
      </c>
      <c r="E43" s="2">
        <v>7</v>
      </c>
      <c r="F43" s="125">
        <v>7</v>
      </c>
      <c r="G43" s="125">
        <v>7</v>
      </c>
    </row>
    <row r="44" spans="1:7" x14ac:dyDescent="0.25">
      <c r="A44" s="22" t="s">
        <v>37</v>
      </c>
      <c r="D44" s="2">
        <v>0</v>
      </c>
      <c r="E44" s="2">
        <v>0</v>
      </c>
      <c r="F44" s="125">
        <v>0</v>
      </c>
      <c r="G44" s="125">
        <v>0</v>
      </c>
    </row>
    <row r="45" spans="1:7" x14ac:dyDescent="0.25">
      <c r="A45" s="22" t="s">
        <v>26</v>
      </c>
      <c r="D45" s="2">
        <v>10</v>
      </c>
      <c r="E45" s="2">
        <v>13</v>
      </c>
      <c r="F45" s="125">
        <v>11</v>
      </c>
      <c r="G45" s="125">
        <v>9</v>
      </c>
    </row>
    <row r="46" spans="1:7" x14ac:dyDescent="0.25">
      <c r="A46" s="22" t="s">
        <v>27</v>
      </c>
      <c r="D46" s="2">
        <v>50</v>
      </c>
      <c r="E46" s="2">
        <v>65</v>
      </c>
      <c r="F46" s="125">
        <v>90</v>
      </c>
      <c r="G46" s="125">
        <v>115</v>
      </c>
    </row>
    <row r="47" spans="1:7" x14ac:dyDescent="0.25">
      <c r="A47" s="22" t="s">
        <v>18</v>
      </c>
      <c r="D47" s="2">
        <v>10</v>
      </c>
      <c r="E47" s="2">
        <v>20</v>
      </c>
      <c r="F47" s="125">
        <v>23</v>
      </c>
      <c r="G47" s="125">
        <v>26</v>
      </c>
    </row>
    <row r="48" spans="1:7" x14ac:dyDescent="0.25">
      <c r="A48" s="22" t="s">
        <v>31</v>
      </c>
      <c r="D48" s="2">
        <v>6</v>
      </c>
      <c r="E48" s="2">
        <v>6</v>
      </c>
      <c r="F48" s="125">
        <v>6</v>
      </c>
      <c r="G48" s="125">
        <v>8</v>
      </c>
    </row>
    <row r="49" spans="1:7" x14ac:dyDescent="0.25">
      <c r="A49" s="22" t="s">
        <v>19</v>
      </c>
      <c r="D49" s="126"/>
      <c r="E49" s="126">
        <v>0</v>
      </c>
      <c r="F49" s="126">
        <v>60</v>
      </c>
      <c r="G49" s="126">
        <v>60</v>
      </c>
    </row>
    <row r="50" spans="1:7" x14ac:dyDescent="0.25">
      <c r="A50" s="22" t="s">
        <v>20</v>
      </c>
      <c r="D50" s="7"/>
      <c r="E50" s="7">
        <v>3100</v>
      </c>
      <c r="F50" s="7">
        <v>2800</v>
      </c>
      <c r="G50" s="7">
        <v>2800</v>
      </c>
    </row>
    <row r="51" spans="1:7" x14ac:dyDescent="0.25">
      <c r="A51" s="22" t="s">
        <v>22</v>
      </c>
      <c r="D51" s="7"/>
      <c r="E51" s="7">
        <v>2064</v>
      </c>
      <c r="F51" s="7">
        <v>864</v>
      </c>
      <c r="G51" s="7">
        <v>432</v>
      </c>
    </row>
    <row r="52" spans="1:7" x14ac:dyDescent="0.25">
      <c r="A52" s="22" t="s">
        <v>23</v>
      </c>
      <c r="D52" s="7"/>
      <c r="E52" s="7">
        <v>0</v>
      </c>
      <c r="F52" s="7">
        <v>0</v>
      </c>
      <c r="G52" s="7">
        <v>0</v>
      </c>
    </row>
    <row r="53" spans="1:7" x14ac:dyDescent="0.25">
      <c r="A53" s="22" t="s">
        <v>38</v>
      </c>
      <c r="D53" s="7"/>
      <c r="E53" s="7">
        <v>0</v>
      </c>
      <c r="F53" s="7">
        <v>0</v>
      </c>
      <c r="G53" s="7">
        <v>0</v>
      </c>
    </row>
    <row r="54" spans="1:7" x14ac:dyDescent="0.25">
      <c r="A54" s="22" t="s">
        <v>28</v>
      </c>
      <c r="D54" s="7"/>
      <c r="E54" s="7">
        <v>192</v>
      </c>
      <c r="F54" s="7">
        <v>384</v>
      </c>
      <c r="G54" s="7">
        <v>256</v>
      </c>
    </row>
    <row r="55" spans="1:7" x14ac:dyDescent="0.25">
      <c r="A55" s="22" t="s">
        <v>29</v>
      </c>
      <c r="D55" s="7"/>
      <c r="E55" s="7">
        <v>660</v>
      </c>
      <c r="F55" s="7">
        <v>1320</v>
      </c>
      <c r="G55" s="7">
        <v>2420</v>
      </c>
    </row>
    <row r="56" spans="1:7" x14ac:dyDescent="0.25">
      <c r="A56" s="22" t="s">
        <v>24</v>
      </c>
      <c r="D56" s="7"/>
      <c r="E56" s="7">
        <v>0</v>
      </c>
      <c r="F56" s="7">
        <v>260</v>
      </c>
      <c r="G56" s="7">
        <v>320</v>
      </c>
    </row>
    <row r="57" spans="1:7" x14ac:dyDescent="0.25">
      <c r="A57" s="22" t="s">
        <v>32</v>
      </c>
      <c r="D57" s="7"/>
      <c r="E57" s="7">
        <v>0</v>
      </c>
      <c r="F57" s="7">
        <v>0</v>
      </c>
      <c r="G57" s="7">
        <v>4000</v>
      </c>
    </row>
    <row r="58" spans="1:7" x14ac:dyDescent="0.25">
      <c r="A58" s="22" t="s">
        <v>35</v>
      </c>
      <c r="D58" s="7"/>
      <c r="E58" s="7">
        <v>0</v>
      </c>
      <c r="F58" s="7">
        <v>0</v>
      </c>
      <c r="G58" s="7">
        <v>0</v>
      </c>
    </row>
    <row r="59" spans="1:7" x14ac:dyDescent="0.25">
      <c r="A59" s="22" t="s">
        <v>33</v>
      </c>
      <c r="D59" s="7"/>
      <c r="E59" s="7">
        <v>18000</v>
      </c>
      <c r="F59" s="7">
        <v>18000</v>
      </c>
      <c r="G59" s="7">
        <v>18000</v>
      </c>
    </row>
    <row r="60" spans="1:7" x14ac:dyDescent="0.25">
      <c r="A60" s="22" t="s">
        <v>21</v>
      </c>
      <c r="D60" s="11"/>
      <c r="E60" s="11">
        <v>19000</v>
      </c>
      <c r="F60" s="11">
        <v>17500</v>
      </c>
      <c r="G60" s="11">
        <v>17500</v>
      </c>
    </row>
    <row r="62" spans="1:7" x14ac:dyDescent="0.25">
      <c r="A62" s="124" t="s">
        <v>39</v>
      </c>
    </row>
    <row r="63" spans="1:7" x14ac:dyDescent="0.25">
      <c r="A63" s="22" t="s">
        <v>37</v>
      </c>
      <c r="D63" s="2">
        <v>200</v>
      </c>
      <c r="E63" s="2">
        <v>304</v>
      </c>
      <c r="F63" s="125">
        <v>185</v>
      </c>
      <c r="G63" s="125">
        <v>157</v>
      </c>
    </row>
    <row r="64" spans="1:7" x14ac:dyDescent="0.25">
      <c r="A64" s="22" t="s">
        <v>40</v>
      </c>
      <c r="D64" s="2">
        <v>10</v>
      </c>
      <c r="E64" s="2">
        <v>7</v>
      </c>
      <c r="F64" s="125">
        <v>7</v>
      </c>
      <c r="G64" s="125">
        <v>7</v>
      </c>
    </row>
    <row r="65" spans="1:7" x14ac:dyDescent="0.25">
      <c r="A65" s="22" t="s">
        <v>16</v>
      </c>
      <c r="D65" s="2">
        <v>0</v>
      </c>
      <c r="E65" s="2">
        <v>0</v>
      </c>
      <c r="F65" s="125">
        <v>0</v>
      </c>
      <c r="G65" s="125">
        <v>0</v>
      </c>
    </row>
    <row r="66" spans="1:7" x14ac:dyDescent="0.25">
      <c r="A66" s="22" t="s">
        <v>26</v>
      </c>
      <c r="D66" s="2">
        <v>40</v>
      </c>
      <c r="E66" s="2">
        <v>52</v>
      </c>
      <c r="F66" s="125">
        <v>34</v>
      </c>
      <c r="G66" s="125">
        <v>16</v>
      </c>
    </row>
    <row r="67" spans="1:7" x14ac:dyDescent="0.25">
      <c r="A67" s="22" t="s">
        <v>45</v>
      </c>
      <c r="D67" s="2">
        <v>10</v>
      </c>
      <c r="E67" s="2">
        <v>23</v>
      </c>
      <c r="F67" s="125">
        <v>26</v>
      </c>
      <c r="G67" s="125">
        <v>29</v>
      </c>
    </row>
    <row r="68" spans="1:7" x14ac:dyDescent="0.25">
      <c r="A68" s="22" t="s">
        <v>41</v>
      </c>
      <c r="D68" s="2">
        <v>10</v>
      </c>
      <c r="E68" s="2">
        <v>20</v>
      </c>
      <c r="F68" s="125">
        <v>23</v>
      </c>
      <c r="G68" s="125">
        <v>26</v>
      </c>
    </row>
    <row r="69" spans="1:7" x14ac:dyDescent="0.25">
      <c r="A69" s="22" t="s">
        <v>31</v>
      </c>
      <c r="D69" s="2">
        <v>6</v>
      </c>
      <c r="E69" s="2">
        <v>6</v>
      </c>
      <c r="F69" s="125">
        <v>6</v>
      </c>
      <c r="G69" s="125">
        <v>8</v>
      </c>
    </row>
    <row r="70" spans="1:7" x14ac:dyDescent="0.25">
      <c r="A70" s="22" t="s">
        <v>19</v>
      </c>
      <c r="D70" s="126"/>
      <c r="E70" s="126">
        <v>0</v>
      </c>
      <c r="F70" s="126">
        <v>60</v>
      </c>
      <c r="G70" s="126">
        <v>60</v>
      </c>
    </row>
    <row r="71" spans="1:7" x14ac:dyDescent="0.25">
      <c r="A71" s="22" t="s">
        <v>20</v>
      </c>
      <c r="D71" s="7"/>
      <c r="E71" s="7">
        <v>3100</v>
      </c>
      <c r="F71" s="7">
        <v>2800</v>
      </c>
      <c r="G71" s="7">
        <v>2800</v>
      </c>
    </row>
    <row r="72" spans="1:7" x14ac:dyDescent="0.25">
      <c r="A72" s="22" t="s">
        <v>42</v>
      </c>
      <c r="D72" s="7"/>
      <c r="E72" s="7">
        <v>0</v>
      </c>
      <c r="F72" s="7">
        <v>0</v>
      </c>
      <c r="G72" s="7">
        <v>0</v>
      </c>
    </row>
    <row r="73" spans="1:7" x14ac:dyDescent="0.25">
      <c r="A73" s="22" t="s">
        <v>38</v>
      </c>
      <c r="D73" s="7"/>
      <c r="E73" s="7">
        <v>1976</v>
      </c>
      <c r="F73" s="7">
        <v>855</v>
      </c>
      <c r="G73" s="7">
        <v>323</v>
      </c>
    </row>
    <row r="74" spans="1:7" x14ac:dyDescent="0.25">
      <c r="A74" s="22" t="s">
        <v>22</v>
      </c>
      <c r="D74" s="7"/>
      <c r="E74" s="7">
        <v>0</v>
      </c>
      <c r="F74" s="7">
        <v>0</v>
      </c>
      <c r="G74" s="7">
        <v>0</v>
      </c>
    </row>
    <row r="75" spans="1:7" x14ac:dyDescent="0.25">
      <c r="A75" s="22" t="s">
        <v>28</v>
      </c>
      <c r="D75" s="7"/>
      <c r="E75" s="7">
        <v>768</v>
      </c>
      <c r="F75" s="7">
        <v>1536</v>
      </c>
      <c r="G75" s="7">
        <v>384</v>
      </c>
    </row>
    <row r="76" spans="1:7" x14ac:dyDescent="0.25">
      <c r="A76" s="22" t="s">
        <v>46</v>
      </c>
      <c r="D76" s="7"/>
      <c r="E76" s="7">
        <v>24</v>
      </c>
      <c r="F76" s="7">
        <v>128</v>
      </c>
      <c r="G76" s="7">
        <v>152</v>
      </c>
    </row>
    <row r="77" spans="1:7" x14ac:dyDescent="0.25">
      <c r="A77" s="22" t="s">
        <v>43</v>
      </c>
      <c r="D77" s="7"/>
      <c r="E77" s="7">
        <v>0</v>
      </c>
      <c r="F77" s="7">
        <v>780</v>
      </c>
      <c r="G77" s="7">
        <v>960</v>
      </c>
    </row>
    <row r="78" spans="1:7" x14ac:dyDescent="0.25">
      <c r="A78" s="22" t="s">
        <v>32</v>
      </c>
      <c r="D78" s="7"/>
      <c r="E78" s="7">
        <v>0</v>
      </c>
      <c r="F78" s="7">
        <v>0</v>
      </c>
      <c r="G78" s="7">
        <v>4000</v>
      </c>
    </row>
    <row r="79" spans="1:7" x14ac:dyDescent="0.25">
      <c r="A79" s="22" t="s">
        <v>35</v>
      </c>
      <c r="D79" s="7"/>
      <c r="E79" s="7">
        <v>0</v>
      </c>
      <c r="F79" s="7">
        <v>0</v>
      </c>
      <c r="G79" s="7">
        <v>0</v>
      </c>
    </row>
    <row r="80" spans="1:7" x14ac:dyDescent="0.25">
      <c r="A80" s="22" t="s">
        <v>33</v>
      </c>
      <c r="D80" s="7"/>
      <c r="E80" s="7">
        <v>18000</v>
      </c>
      <c r="F80" s="7">
        <v>18000</v>
      </c>
      <c r="G80" s="7">
        <v>18000</v>
      </c>
    </row>
    <row r="81" spans="1:7" x14ac:dyDescent="0.25">
      <c r="A81" s="22" t="s">
        <v>21</v>
      </c>
      <c r="D81" s="11"/>
      <c r="E81" s="11">
        <v>19000</v>
      </c>
      <c r="F81" s="11">
        <v>17500</v>
      </c>
      <c r="G81" s="11">
        <v>17500</v>
      </c>
    </row>
    <row r="83" spans="1:7" x14ac:dyDescent="0.25">
      <c r="A83" s="124" t="s">
        <v>52</v>
      </c>
    </row>
    <row r="84" spans="1:7" x14ac:dyDescent="0.25">
      <c r="A84" s="22" t="s">
        <v>16</v>
      </c>
      <c r="E84" s="2">
        <v>0</v>
      </c>
      <c r="F84" s="125">
        <v>0</v>
      </c>
      <c r="G84" s="125">
        <v>0</v>
      </c>
    </row>
    <row r="85" spans="1:7" x14ac:dyDescent="0.25">
      <c r="A85" s="22" t="s">
        <v>37</v>
      </c>
      <c r="E85" s="2">
        <v>0</v>
      </c>
      <c r="F85" s="125">
        <v>0</v>
      </c>
      <c r="G85" s="125">
        <v>0</v>
      </c>
    </row>
    <row r="86" spans="1:7" x14ac:dyDescent="0.25">
      <c r="A86" s="22" t="s">
        <v>56</v>
      </c>
      <c r="E86" s="2">
        <v>0</v>
      </c>
      <c r="F86" s="125">
        <v>0</v>
      </c>
      <c r="G86" s="125">
        <v>0</v>
      </c>
    </row>
    <row r="87" spans="1:7" x14ac:dyDescent="0.25">
      <c r="A87" s="22" t="s">
        <v>57</v>
      </c>
      <c r="E87" s="2">
        <v>-3.5527136788005009E-15</v>
      </c>
      <c r="F87" s="125">
        <v>-3.5527136788005009E-15</v>
      </c>
      <c r="G87" s="125">
        <v>-7.1054273576010019E-15</v>
      </c>
    </row>
    <row r="88" spans="1:7" x14ac:dyDescent="0.25">
      <c r="A88" s="22" t="s">
        <v>53</v>
      </c>
      <c r="E88" s="2">
        <v>21967</v>
      </c>
      <c r="F88" s="125">
        <v>22676</v>
      </c>
      <c r="G88" s="125">
        <v>11575</v>
      </c>
    </row>
    <row r="89" spans="1:7" x14ac:dyDescent="0.25">
      <c r="A89" s="22" t="s">
        <v>19</v>
      </c>
      <c r="D89" s="126"/>
      <c r="E89" s="126">
        <v>124.88333333333343</v>
      </c>
      <c r="F89" s="126">
        <v>99.266666666666779</v>
      </c>
      <c r="G89" s="126">
        <v>294.12333333333333</v>
      </c>
    </row>
    <row r="90" spans="1:7" x14ac:dyDescent="0.25">
      <c r="A90" s="22" t="s">
        <v>54</v>
      </c>
      <c r="D90" s="7"/>
      <c r="E90" s="7">
        <v>54917.5</v>
      </c>
      <c r="F90" s="7">
        <v>56690</v>
      </c>
      <c r="G90" s="7">
        <v>28937.5</v>
      </c>
    </row>
    <row r="91" spans="1:7" x14ac:dyDescent="0.25">
      <c r="A91" s="22" t="s">
        <v>21</v>
      </c>
      <c r="D91" s="11"/>
      <c r="E91" s="11">
        <v>20209.640000000003</v>
      </c>
      <c r="F91" s="11">
        <v>20861.919999999998</v>
      </c>
      <c r="G91" s="11">
        <v>10649</v>
      </c>
    </row>
    <row r="93" spans="1:7" x14ac:dyDescent="0.25">
      <c r="A93" s="124" t="s">
        <v>63</v>
      </c>
    </row>
    <row r="94" spans="1:7" x14ac:dyDescent="0.25">
      <c r="A94" s="22" t="s">
        <v>16</v>
      </c>
      <c r="E94" s="2">
        <v>0</v>
      </c>
      <c r="F94" s="125">
        <v>0</v>
      </c>
      <c r="G94" s="125">
        <v>0</v>
      </c>
    </row>
    <row r="95" spans="1:7" x14ac:dyDescent="0.25">
      <c r="A95" s="22" t="s">
        <v>37</v>
      </c>
      <c r="E95" s="2">
        <v>2</v>
      </c>
      <c r="F95" s="125">
        <v>0</v>
      </c>
      <c r="G95" s="125">
        <v>0</v>
      </c>
    </row>
    <row r="96" spans="1:7" x14ac:dyDescent="0.25">
      <c r="A96" s="22" t="s">
        <v>56</v>
      </c>
      <c r="E96" s="2">
        <v>2</v>
      </c>
      <c r="F96" s="125">
        <v>0</v>
      </c>
      <c r="G96" s="125">
        <v>0</v>
      </c>
    </row>
    <row r="97" spans="1:7" x14ac:dyDescent="0.25">
      <c r="A97" s="22" t="s">
        <v>57</v>
      </c>
      <c r="E97" s="2">
        <v>1</v>
      </c>
      <c r="F97" s="125">
        <v>0</v>
      </c>
      <c r="G97" s="125">
        <v>0</v>
      </c>
    </row>
    <row r="98" spans="1:7" x14ac:dyDescent="0.25">
      <c r="A98" s="22" t="s">
        <v>53</v>
      </c>
      <c r="E98" s="2">
        <v>9539</v>
      </c>
      <c r="F98" s="125">
        <v>13476</v>
      </c>
      <c r="G98" s="125">
        <v>13039</v>
      </c>
    </row>
    <row r="99" spans="1:7" x14ac:dyDescent="0.25">
      <c r="A99" s="22" t="s">
        <v>19</v>
      </c>
      <c r="D99" s="126"/>
      <c r="E99" s="126">
        <v>88.076666666666611</v>
      </c>
      <c r="F99" s="126">
        <v>11.779999999999983</v>
      </c>
      <c r="G99" s="126">
        <v>22.543333333333294</v>
      </c>
    </row>
    <row r="100" spans="1:7" x14ac:dyDescent="0.25">
      <c r="A100" s="22" t="s">
        <v>54</v>
      </c>
      <c r="D100" s="7"/>
      <c r="E100" s="7">
        <v>19078</v>
      </c>
      <c r="F100" s="7">
        <v>26952</v>
      </c>
      <c r="G100" s="7">
        <v>26078</v>
      </c>
    </row>
    <row r="101" spans="1:7" x14ac:dyDescent="0.25">
      <c r="A101" s="22" t="s">
        <v>21</v>
      </c>
      <c r="D101" s="11"/>
      <c r="E101" s="11">
        <v>8775.880000000001</v>
      </c>
      <c r="F101" s="11">
        <v>12397.920000000002</v>
      </c>
      <c r="G101" s="11">
        <v>11995.88</v>
      </c>
    </row>
    <row r="103" spans="1:7" x14ac:dyDescent="0.25">
      <c r="A103" s="124" t="s">
        <v>64</v>
      </c>
    </row>
    <row r="104" spans="1:7" x14ac:dyDescent="0.25">
      <c r="A104" s="22" t="s">
        <v>16</v>
      </c>
      <c r="E104" s="2">
        <v>0</v>
      </c>
      <c r="F104" s="125">
        <v>0</v>
      </c>
      <c r="G104" s="125">
        <v>0</v>
      </c>
    </row>
    <row r="105" spans="1:7" x14ac:dyDescent="0.25">
      <c r="A105" s="22" t="s">
        <v>37</v>
      </c>
      <c r="E105" s="2">
        <v>0</v>
      </c>
      <c r="F105" s="125">
        <v>0</v>
      </c>
      <c r="G105" s="125">
        <v>0</v>
      </c>
    </row>
    <row r="106" spans="1:7" x14ac:dyDescent="0.25">
      <c r="A106" s="22" t="s">
        <v>56</v>
      </c>
      <c r="E106" s="2">
        <v>0</v>
      </c>
      <c r="F106" s="125">
        <v>0</v>
      </c>
      <c r="G106" s="125">
        <v>0</v>
      </c>
    </row>
    <row r="107" spans="1:7" x14ac:dyDescent="0.25">
      <c r="A107" s="22" t="s">
        <v>57</v>
      </c>
      <c r="E107" s="2">
        <v>0</v>
      </c>
      <c r="F107" s="125">
        <v>0</v>
      </c>
      <c r="G107" s="125">
        <v>0</v>
      </c>
    </row>
    <row r="108" spans="1:7" x14ac:dyDescent="0.25">
      <c r="A108" s="22" t="s">
        <v>53</v>
      </c>
      <c r="E108" s="2">
        <v>6966</v>
      </c>
      <c r="F108" s="125">
        <v>9431</v>
      </c>
      <c r="G108" s="125">
        <v>2212</v>
      </c>
    </row>
    <row r="109" spans="1:7" x14ac:dyDescent="0.25">
      <c r="A109" s="22" t="s">
        <v>19</v>
      </c>
      <c r="D109" s="126"/>
      <c r="E109" s="126">
        <v>49.045714285714283</v>
      </c>
      <c r="F109" s="126">
        <v>9.5114285714285955</v>
      </c>
      <c r="G109" s="126">
        <v>115.52</v>
      </c>
    </row>
    <row r="110" spans="1:7" x14ac:dyDescent="0.25">
      <c r="A110" s="22" t="s">
        <v>54</v>
      </c>
      <c r="D110" s="7"/>
      <c r="E110" s="7">
        <v>10449</v>
      </c>
      <c r="F110" s="7">
        <v>14146.5</v>
      </c>
      <c r="G110" s="7">
        <v>3318</v>
      </c>
    </row>
    <row r="111" spans="1:7" x14ac:dyDescent="0.25">
      <c r="A111" s="22" t="s">
        <v>21</v>
      </c>
      <c r="D111" s="11"/>
      <c r="E111" s="11">
        <v>5572.7999999999993</v>
      </c>
      <c r="F111" s="11">
        <v>7544.8</v>
      </c>
      <c r="G111" s="11">
        <v>1769.6000000000001</v>
      </c>
    </row>
    <row r="113" spans="1:7" x14ac:dyDescent="0.25">
      <c r="A113" s="124" t="s">
        <v>65</v>
      </c>
    </row>
    <row r="114" spans="1:7" x14ac:dyDescent="0.25">
      <c r="A114" s="22" t="s">
        <v>16</v>
      </c>
      <c r="D114" s="2">
        <v>10</v>
      </c>
      <c r="E114" s="2">
        <v>0</v>
      </c>
      <c r="F114" s="125">
        <v>1</v>
      </c>
      <c r="G114" s="125">
        <v>22</v>
      </c>
    </row>
    <row r="115" spans="1:7" x14ac:dyDescent="0.25">
      <c r="A115" s="22" t="s">
        <v>37</v>
      </c>
      <c r="D115" s="2">
        <v>10</v>
      </c>
      <c r="E115" s="2">
        <v>2</v>
      </c>
      <c r="F115" s="125">
        <v>41</v>
      </c>
      <c r="G115" s="125">
        <v>21</v>
      </c>
    </row>
    <row r="116" spans="1:7" x14ac:dyDescent="0.25">
      <c r="A116" s="22" t="s">
        <v>68</v>
      </c>
      <c r="D116" s="7"/>
      <c r="E116" s="7">
        <v>20000</v>
      </c>
      <c r="F116" s="7">
        <v>22000</v>
      </c>
      <c r="G116" s="7">
        <v>24000</v>
      </c>
    </row>
    <row r="117" spans="1:7" x14ac:dyDescent="0.25">
      <c r="A117" s="22" t="s">
        <v>72</v>
      </c>
      <c r="D117" s="7"/>
      <c r="E117" s="7">
        <v>24000</v>
      </c>
      <c r="F117" s="7">
        <v>27200</v>
      </c>
      <c r="G117" s="7">
        <v>32000</v>
      </c>
    </row>
    <row r="118" spans="1:7" x14ac:dyDescent="0.25">
      <c r="A118" s="22" t="s">
        <v>22</v>
      </c>
      <c r="D118" s="7"/>
      <c r="E118" s="7">
        <v>0</v>
      </c>
      <c r="F118" s="7">
        <v>12</v>
      </c>
      <c r="G118" s="7">
        <v>264</v>
      </c>
    </row>
    <row r="119" spans="1:7" x14ac:dyDescent="0.25">
      <c r="A119" s="22" t="s">
        <v>38</v>
      </c>
      <c r="D119" s="7"/>
      <c r="E119" s="7">
        <v>38</v>
      </c>
      <c r="F119" s="7">
        <v>779</v>
      </c>
      <c r="G119" s="7">
        <v>399</v>
      </c>
    </row>
    <row r="120" spans="1:7" x14ac:dyDescent="0.25">
      <c r="A120" s="22" t="s">
        <v>66</v>
      </c>
      <c r="E120" s="2">
        <v>20</v>
      </c>
      <c r="F120" s="125">
        <v>22</v>
      </c>
      <c r="G120" s="125">
        <v>24</v>
      </c>
    </row>
    <row r="121" spans="1:7" x14ac:dyDescent="0.25">
      <c r="A121" s="22" t="s">
        <v>70</v>
      </c>
      <c r="E121" s="2">
        <v>15</v>
      </c>
      <c r="F121" s="125">
        <v>17</v>
      </c>
      <c r="G121" s="125">
        <v>20</v>
      </c>
    </row>
    <row r="122" spans="1:7" x14ac:dyDescent="0.25">
      <c r="A122" s="22" t="s">
        <v>67</v>
      </c>
      <c r="E122" s="2">
        <v>20</v>
      </c>
      <c r="F122" s="125">
        <v>22</v>
      </c>
      <c r="G122" s="125">
        <v>24</v>
      </c>
    </row>
    <row r="123" spans="1:7" x14ac:dyDescent="0.25">
      <c r="A123" s="22" t="s">
        <v>71</v>
      </c>
      <c r="E123" s="2">
        <v>15</v>
      </c>
      <c r="F123" s="125">
        <v>17</v>
      </c>
      <c r="G123" s="125">
        <v>20</v>
      </c>
    </row>
    <row r="125" spans="1:7" x14ac:dyDescent="0.25">
      <c r="A125" s="124" t="s">
        <v>74</v>
      </c>
    </row>
    <row r="126" spans="1:7" x14ac:dyDescent="0.25">
      <c r="A126" s="22" t="s">
        <v>16</v>
      </c>
      <c r="D126" s="2">
        <v>10</v>
      </c>
      <c r="E126" s="2">
        <v>1</v>
      </c>
      <c r="F126" s="125">
        <v>69</v>
      </c>
      <c r="G126" s="125">
        <v>96</v>
      </c>
    </row>
    <row r="127" spans="1:7" x14ac:dyDescent="0.25">
      <c r="A127" s="22" t="s">
        <v>37</v>
      </c>
      <c r="D127" s="2">
        <v>10</v>
      </c>
      <c r="E127" s="2">
        <v>2</v>
      </c>
      <c r="F127" s="125">
        <v>2</v>
      </c>
      <c r="G127" s="125">
        <v>1</v>
      </c>
    </row>
    <row r="128" spans="1:7" x14ac:dyDescent="0.25">
      <c r="A128" s="22" t="s">
        <v>68</v>
      </c>
      <c r="D128" s="7"/>
      <c r="E128" s="7">
        <v>14000</v>
      </c>
      <c r="F128" s="7">
        <v>15400</v>
      </c>
      <c r="G128" s="7">
        <v>14000</v>
      </c>
    </row>
    <row r="129" spans="1:7" x14ac:dyDescent="0.25">
      <c r="A129" s="22" t="s">
        <v>72</v>
      </c>
      <c r="D129" s="7"/>
      <c r="E129" s="7">
        <v>18200</v>
      </c>
      <c r="F129" s="7">
        <v>22100</v>
      </c>
      <c r="G129" s="7">
        <v>20800</v>
      </c>
    </row>
    <row r="130" spans="1:7" x14ac:dyDescent="0.25">
      <c r="A130" s="22" t="s">
        <v>22</v>
      </c>
      <c r="D130" s="7"/>
      <c r="E130" s="7">
        <v>12</v>
      </c>
      <c r="F130" s="7">
        <v>828</v>
      </c>
      <c r="G130" s="7">
        <v>1152</v>
      </c>
    </row>
    <row r="131" spans="1:7" x14ac:dyDescent="0.25">
      <c r="A131" s="22" t="s">
        <v>38</v>
      </c>
      <c r="D131" s="7"/>
      <c r="E131" s="7">
        <v>38</v>
      </c>
      <c r="F131" s="7">
        <v>38</v>
      </c>
      <c r="G131" s="7">
        <v>19</v>
      </c>
    </row>
    <row r="132" spans="1:7" x14ac:dyDescent="0.25">
      <c r="A132" s="22" t="s">
        <v>66</v>
      </c>
      <c r="E132" s="2">
        <v>20</v>
      </c>
      <c r="F132" s="125">
        <v>22</v>
      </c>
      <c r="G132" s="125">
        <v>20</v>
      </c>
    </row>
    <row r="133" spans="1:7" x14ac:dyDescent="0.25">
      <c r="A133" s="22" t="s">
        <v>70</v>
      </c>
      <c r="E133" s="2">
        <v>14</v>
      </c>
      <c r="F133" s="125">
        <v>17</v>
      </c>
      <c r="G133" s="125">
        <v>16</v>
      </c>
    </row>
    <row r="134" spans="1:7" x14ac:dyDescent="0.25">
      <c r="A134" s="22" t="s">
        <v>67</v>
      </c>
      <c r="E134" s="2">
        <v>20</v>
      </c>
      <c r="F134" s="125">
        <v>22</v>
      </c>
      <c r="G134" s="125">
        <v>20</v>
      </c>
    </row>
    <row r="135" spans="1:7" x14ac:dyDescent="0.25">
      <c r="A135" s="22" t="s">
        <v>71</v>
      </c>
      <c r="E135" s="2">
        <v>14</v>
      </c>
      <c r="F135" s="125">
        <v>17</v>
      </c>
      <c r="G135" s="125">
        <v>16</v>
      </c>
    </row>
    <row r="137" spans="1:7" x14ac:dyDescent="0.25">
      <c r="A137" s="124" t="s">
        <v>75</v>
      </c>
    </row>
    <row r="138" spans="1:7" x14ac:dyDescent="0.25">
      <c r="A138" s="22" t="s">
        <v>16</v>
      </c>
      <c r="D138" s="2">
        <v>10</v>
      </c>
      <c r="E138" s="2">
        <v>2</v>
      </c>
      <c r="F138" s="125">
        <v>55</v>
      </c>
      <c r="G138" s="125">
        <v>34</v>
      </c>
    </row>
    <row r="139" spans="1:7" x14ac:dyDescent="0.25">
      <c r="A139" s="22" t="s">
        <v>37</v>
      </c>
      <c r="D139" s="2">
        <v>10</v>
      </c>
      <c r="E139" s="2">
        <v>0</v>
      </c>
      <c r="F139" s="125">
        <v>23</v>
      </c>
      <c r="G139" s="125">
        <v>11</v>
      </c>
    </row>
    <row r="140" spans="1:7" x14ac:dyDescent="0.25">
      <c r="A140" s="22" t="s">
        <v>68</v>
      </c>
      <c r="D140" s="7"/>
      <c r="E140" s="7">
        <v>21600</v>
      </c>
      <c r="F140" s="7">
        <v>21600</v>
      </c>
      <c r="G140" s="7">
        <v>18900</v>
      </c>
    </row>
    <row r="141" spans="1:7" x14ac:dyDescent="0.25">
      <c r="A141" s="22" t="s">
        <v>72</v>
      </c>
      <c r="D141" s="7"/>
      <c r="E141" s="7">
        <v>21000</v>
      </c>
      <c r="F141" s="7">
        <v>19500</v>
      </c>
      <c r="G141" s="7">
        <v>18000</v>
      </c>
    </row>
    <row r="142" spans="1:7" x14ac:dyDescent="0.25">
      <c r="A142" s="22" t="s">
        <v>22</v>
      </c>
      <c r="D142" s="7"/>
      <c r="E142" s="7">
        <v>24</v>
      </c>
      <c r="F142" s="7">
        <v>660</v>
      </c>
      <c r="G142" s="7">
        <v>408</v>
      </c>
    </row>
    <row r="143" spans="1:7" x14ac:dyDescent="0.25">
      <c r="A143" s="22" t="s">
        <v>38</v>
      </c>
      <c r="D143" s="7"/>
      <c r="E143" s="7">
        <v>0</v>
      </c>
      <c r="F143" s="7">
        <v>437</v>
      </c>
      <c r="G143" s="7">
        <v>209</v>
      </c>
    </row>
    <row r="144" spans="1:7" x14ac:dyDescent="0.25">
      <c r="A144" s="22" t="s">
        <v>66</v>
      </c>
      <c r="E144" s="2">
        <v>24</v>
      </c>
      <c r="F144" s="125">
        <v>24</v>
      </c>
      <c r="G144" s="125">
        <v>21</v>
      </c>
    </row>
    <row r="145" spans="1:7" x14ac:dyDescent="0.25">
      <c r="A145" s="22" t="s">
        <v>70</v>
      </c>
      <c r="E145" s="2">
        <v>14</v>
      </c>
      <c r="F145" s="125">
        <v>13</v>
      </c>
      <c r="G145" s="125">
        <v>12</v>
      </c>
    </row>
    <row r="146" spans="1:7" x14ac:dyDescent="0.25">
      <c r="A146" s="22" t="s">
        <v>67</v>
      </c>
      <c r="E146" s="2">
        <v>24</v>
      </c>
      <c r="F146" s="125">
        <v>24</v>
      </c>
      <c r="G146" s="125">
        <v>21</v>
      </c>
    </row>
    <row r="147" spans="1:7" x14ac:dyDescent="0.25">
      <c r="A147" s="22" t="s">
        <v>71</v>
      </c>
      <c r="E147" s="2">
        <v>14</v>
      </c>
      <c r="F147" s="125">
        <v>13</v>
      </c>
      <c r="G147" s="125">
        <v>12</v>
      </c>
    </row>
    <row r="149" spans="1:7" x14ac:dyDescent="0.25">
      <c r="A149" s="124" t="s">
        <v>76</v>
      </c>
    </row>
    <row r="150" spans="1:7" x14ac:dyDescent="0.25">
      <c r="A150" s="22" t="s">
        <v>16</v>
      </c>
      <c r="D150" s="2">
        <v>10</v>
      </c>
      <c r="E150" s="2">
        <v>11</v>
      </c>
      <c r="F150" s="125">
        <v>19</v>
      </c>
      <c r="G150" s="125">
        <v>11</v>
      </c>
    </row>
    <row r="151" spans="1:7" x14ac:dyDescent="0.25">
      <c r="A151" s="22" t="s">
        <v>37</v>
      </c>
      <c r="D151" s="2">
        <v>10</v>
      </c>
      <c r="E151" s="2">
        <v>4</v>
      </c>
      <c r="F151" s="125">
        <v>12</v>
      </c>
      <c r="G151" s="125">
        <v>10</v>
      </c>
    </row>
    <row r="152" spans="1:7" x14ac:dyDescent="0.25">
      <c r="A152" s="22" t="s">
        <v>68</v>
      </c>
      <c r="D152" s="7"/>
      <c r="E152" s="7">
        <v>19800</v>
      </c>
      <c r="F152" s="7">
        <v>19800</v>
      </c>
      <c r="G152" s="7">
        <v>19800</v>
      </c>
    </row>
    <row r="153" spans="1:7" x14ac:dyDescent="0.25">
      <c r="A153" s="22" t="s">
        <v>72</v>
      </c>
      <c r="D153" s="7"/>
      <c r="E153" s="7">
        <v>22500</v>
      </c>
      <c r="F153" s="7">
        <v>21000</v>
      </c>
      <c r="G153" s="7">
        <v>22500</v>
      </c>
    </row>
    <row r="154" spans="1:7" x14ac:dyDescent="0.25">
      <c r="A154" s="22" t="s">
        <v>22</v>
      </c>
      <c r="D154" s="7"/>
      <c r="E154" s="7">
        <v>132</v>
      </c>
      <c r="F154" s="7">
        <v>228</v>
      </c>
      <c r="G154" s="7">
        <v>132</v>
      </c>
    </row>
    <row r="155" spans="1:7" x14ac:dyDescent="0.25">
      <c r="A155" s="22" t="s">
        <v>38</v>
      </c>
      <c r="D155" s="7"/>
      <c r="E155" s="7">
        <v>76</v>
      </c>
      <c r="F155" s="7">
        <v>228</v>
      </c>
      <c r="G155" s="7">
        <v>190</v>
      </c>
    </row>
    <row r="156" spans="1:7" x14ac:dyDescent="0.25">
      <c r="A156" s="22" t="s">
        <v>66</v>
      </c>
      <c r="E156" s="2">
        <v>22</v>
      </c>
      <c r="F156" s="125">
        <v>22</v>
      </c>
      <c r="G156" s="125">
        <v>22</v>
      </c>
    </row>
    <row r="157" spans="1:7" x14ac:dyDescent="0.25">
      <c r="A157" s="22" t="s">
        <v>70</v>
      </c>
      <c r="E157" s="2">
        <v>15</v>
      </c>
      <c r="F157" s="125">
        <v>14</v>
      </c>
      <c r="G157" s="125">
        <v>15</v>
      </c>
    </row>
    <row r="158" spans="1:7" x14ac:dyDescent="0.25">
      <c r="A158" s="22" t="s">
        <v>67</v>
      </c>
      <c r="E158" s="2">
        <v>22</v>
      </c>
      <c r="F158" s="125">
        <v>22</v>
      </c>
      <c r="G158" s="125">
        <v>22</v>
      </c>
    </row>
    <row r="159" spans="1:7" x14ac:dyDescent="0.25">
      <c r="A159" s="22" t="s">
        <v>71</v>
      </c>
      <c r="E159" s="2">
        <v>15</v>
      </c>
      <c r="F159" s="125">
        <v>14</v>
      </c>
      <c r="G159" s="125">
        <v>15</v>
      </c>
    </row>
    <row r="161" spans="1:7" x14ac:dyDescent="0.25">
      <c r="A161" s="124" t="s">
        <v>77</v>
      </c>
    </row>
    <row r="162" spans="1:7" x14ac:dyDescent="0.25">
      <c r="A162" s="22" t="s">
        <v>16</v>
      </c>
      <c r="D162" s="2">
        <v>10</v>
      </c>
      <c r="E162" s="2">
        <v>0</v>
      </c>
      <c r="F162" s="125">
        <v>5</v>
      </c>
      <c r="G162" s="125">
        <v>5</v>
      </c>
    </row>
    <row r="163" spans="1:7" x14ac:dyDescent="0.25">
      <c r="A163" s="22" t="s">
        <v>37</v>
      </c>
      <c r="D163" s="2">
        <v>10</v>
      </c>
      <c r="E163" s="2">
        <v>0</v>
      </c>
      <c r="F163" s="125">
        <v>8</v>
      </c>
      <c r="G163" s="125">
        <v>42</v>
      </c>
    </row>
    <row r="164" spans="1:7" x14ac:dyDescent="0.25">
      <c r="A164" s="22" t="s">
        <v>68</v>
      </c>
      <c r="D164" s="7"/>
      <c r="E164" s="7">
        <v>27000</v>
      </c>
      <c r="F164" s="7">
        <v>26000</v>
      </c>
      <c r="G164" s="7">
        <v>31000</v>
      </c>
    </row>
    <row r="165" spans="1:7" x14ac:dyDescent="0.25">
      <c r="A165" s="22" t="s">
        <v>72</v>
      </c>
      <c r="D165" s="7"/>
      <c r="E165" s="7">
        <v>30400</v>
      </c>
      <c r="F165" s="7">
        <v>27200</v>
      </c>
      <c r="G165" s="7">
        <v>33600</v>
      </c>
    </row>
    <row r="166" spans="1:7" x14ac:dyDescent="0.25">
      <c r="A166" s="22" t="s">
        <v>22</v>
      </c>
      <c r="D166" s="7"/>
      <c r="E166" s="7">
        <v>0</v>
      </c>
      <c r="F166" s="7">
        <v>60</v>
      </c>
      <c r="G166" s="7">
        <v>60</v>
      </c>
    </row>
    <row r="167" spans="1:7" x14ac:dyDescent="0.25">
      <c r="A167" s="22" t="s">
        <v>38</v>
      </c>
      <c r="D167" s="7"/>
      <c r="E167" s="7">
        <v>0</v>
      </c>
      <c r="F167" s="7">
        <v>152</v>
      </c>
      <c r="G167" s="7">
        <v>798</v>
      </c>
    </row>
    <row r="168" spans="1:7" x14ac:dyDescent="0.25">
      <c r="A168" s="22" t="s">
        <v>66</v>
      </c>
      <c r="E168" s="2">
        <v>29</v>
      </c>
      <c r="F168" s="125">
        <v>26</v>
      </c>
      <c r="G168" s="125">
        <v>31</v>
      </c>
    </row>
    <row r="169" spans="1:7" x14ac:dyDescent="0.25">
      <c r="A169" s="22" t="s">
        <v>70</v>
      </c>
      <c r="E169" s="2">
        <v>19</v>
      </c>
      <c r="F169" s="125">
        <v>17</v>
      </c>
      <c r="G169" s="125">
        <v>21</v>
      </c>
    </row>
    <row r="170" spans="1:7" x14ac:dyDescent="0.25">
      <c r="A170" s="22" t="s">
        <v>67</v>
      </c>
      <c r="E170" s="2">
        <v>27</v>
      </c>
      <c r="F170" s="125">
        <v>26</v>
      </c>
      <c r="G170" s="125">
        <v>31</v>
      </c>
    </row>
    <row r="171" spans="1:7" x14ac:dyDescent="0.25">
      <c r="A171" s="22" t="s">
        <v>71</v>
      </c>
      <c r="E171" s="2">
        <v>19</v>
      </c>
      <c r="F171" s="125">
        <v>17</v>
      </c>
      <c r="G171" s="125">
        <v>21</v>
      </c>
    </row>
    <row r="173" spans="1:7" x14ac:dyDescent="0.25">
      <c r="A173" s="124" t="s">
        <v>78</v>
      </c>
    </row>
    <row r="174" spans="1:7" x14ac:dyDescent="0.25">
      <c r="A174" s="22" t="s">
        <v>16</v>
      </c>
      <c r="D174" s="2">
        <v>10</v>
      </c>
      <c r="E174" s="2">
        <v>3</v>
      </c>
      <c r="F174" s="125">
        <v>1</v>
      </c>
      <c r="G174" s="125">
        <v>35</v>
      </c>
    </row>
    <row r="175" spans="1:7" x14ac:dyDescent="0.25">
      <c r="A175" s="22" t="s">
        <v>37</v>
      </c>
      <c r="D175" s="2">
        <v>10</v>
      </c>
      <c r="E175" s="2">
        <v>0</v>
      </c>
      <c r="F175" s="125">
        <v>3</v>
      </c>
      <c r="G175" s="125">
        <v>19</v>
      </c>
    </row>
    <row r="176" spans="1:7" x14ac:dyDescent="0.25">
      <c r="A176" s="22" t="s">
        <v>68</v>
      </c>
      <c r="D176" s="7"/>
      <c r="E176" s="7">
        <v>9600</v>
      </c>
      <c r="F176" s="7">
        <v>10800</v>
      </c>
      <c r="G176" s="7">
        <v>9600</v>
      </c>
    </row>
    <row r="177" spans="1:7" x14ac:dyDescent="0.25">
      <c r="A177" s="22" t="s">
        <v>72</v>
      </c>
      <c r="D177" s="7"/>
      <c r="E177" s="7">
        <v>16800</v>
      </c>
      <c r="F177" s="7">
        <v>16800</v>
      </c>
      <c r="G177" s="7">
        <v>15600</v>
      </c>
    </row>
    <row r="178" spans="1:7" x14ac:dyDescent="0.25">
      <c r="A178" s="22" t="s">
        <v>22</v>
      </c>
      <c r="D178" s="7"/>
      <c r="E178" s="7">
        <v>36</v>
      </c>
      <c r="F178" s="7">
        <v>12</v>
      </c>
      <c r="G178" s="7">
        <v>420</v>
      </c>
    </row>
    <row r="179" spans="1:7" x14ac:dyDescent="0.25">
      <c r="A179" s="22" t="s">
        <v>38</v>
      </c>
      <c r="D179" s="7"/>
      <c r="E179" s="7">
        <v>0</v>
      </c>
      <c r="F179" s="7">
        <v>57</v>
      </c>
      <c r="G179" s="7">
        <v>361</v>
      </c>
    </row>
    <row r="180" spans="1:7" x14ac:dyDescent="0.25">
      <c r="A180" s="22" t="s">
        <v>66</v>
      </c>
      <c r="E180" s="2">
        <v>16</v>
      </c>
      <c r="F180" s="125">
        <v>18</v>
      </c>
      <c r="G180" s="125">
        <v>16</v>
      </c>
    </row>
    <row r="181" spans="1:7" x14ac:dyDescent="0.25">
      <c r="A181" s="22" t="s">
        <v>70</v>
      </c>
      <c r="E181" s="2">
        <v>14</v>
      </c>
      <c r="F181" s="125">
        <v>14</v>
      </c>
      <c r="G181" s="125">
        <v>13</v>
      </c>
    </row>
    <row r="182" spans="1:7" x14ac:dyDescent="0.25">
      <c r="A182" s="22" t="s">
        <v>67</v>
      </c>
      <c r="E182" s="2">
        <v>16</v>
      </c>
      <c r="F182" s="125">
        <v>18</v>
      </c>
      <c r="G182" s="125">
        <v>16</v>
      </c>
    </row>
    <row r="183" spans="1:7" x14ac:dyDescent="0.25">
      <c r="A183" s="22" t="s">
        <v>71</v>
      </c>
      <c r="E183" s="2">
        <v>14</v>
      </c>
      <c r="F183" s="125">
        <v>14</v>
      </c>
      <c r="G183" s="125">
        <v>13</v>
      </c>
    </row>
    <row r="185" spans="1:7" x14ac:dyDescent="0.25">
      <c r="A185" s="124" t="s">
        <v>79</v>
      </c>
    </row>
    <row r="186" spans="1:7" x14ac:dyDescent="0.25">
      <c r="A186" s="22" t="s">
        <v>16</v>
      </c>
      <c r="D186" s="2">
        <v>10</v>
      </c>
      <c r="E186" s="2">
        <v>2</v>
      </c>
      <c r="F186" s="125">
        <v>49</v>
      </c>
      <c r="G186" s="125">
        <v>28</v>
      </c>
    </row>
    <row r="187" spans="1:7" x14ac:dyDescent="0.25">
      <c r="A187" s="22" t="s">
        <v>37</v>
      </c>
      <c r="D187" s="2">
        <v>10</v>
      </c>
      <c r="E187" s="2">
        <v>0</v>
      </c>
      <c r="F187" s="125">
        <v>3</v>
      </c>
      <c r="G187" s="125">
        <v>5</v>
      </c>
    </row>
    <row r="188" spans="1:7" x14ac:dyDescent="0.25">
      <c r="A188" s="22" t="s">
        <v>68</v>
      </c>
      <c r="D188" s="7"/>
      <c r="E188" s="7">
        <v>20900</v>
      </c>
      <c r="F188" s="7">
        <v>20900</v>
      </c>
      <c r="G188" s="7">
        <v>23100</v>
      </c>
    </row>
    <row r="189" spans="1:7" x14ac:dyDescent="0.25">
      <c r="A189" s="22" t="s">
        <v>72</v>
      </c>
      <c r="D189" s="7"/>
      <c r="E189" s="7">
        <v>26000</v>
      </c>
      <c r="F189" s="7">
        <v>23400</v>
      </c>
      <c r="G189" s="7">
        <v>24700</v>
      </c>
    </row>
    <row r="190" spans="1:7" x14ac:dyDescent="0.25">
      <c r="A190" s="22" t="s">
        <v>22</v>
      </c>
      <c r="D190" s="7"/>
      <c r="E190" s="7">
        <v>24</v>
      </c>
      <c r="F190" s="7">
        <v>588</v>
      </c>
      <c r="G190" s="7">
        <v>336</v>
      </c>
    </row>
    <row r="191" spans="1:7" x14ac:dyDescent="0.25">
      <c r="A191" s="22" t="s">
        <v>38</v>
      </c>
      <c r="D191" s="7"/>
      <c r="E191" s="7">
        <v>0</v>
      </c>
      <c r="F191" s="7">
        <v>57</v>
      </c>
      <c r="G191" s="7">
        <v>95</v>
      </c>
    </row>
    <row r="192" spans="1:7" x14ac:dyDescent="0.25">
      <c r="A192" s="22" t="s">
        <v>66</v>
      </c>
      <c r="E192" s="2">
        <v>19</v>
      </c>
      <c r="F192" s="125">
        <v>19</v>
      </c>
      <c r="G192" s="125">
        <v>21</v>
      </c>
    </row>
    <row r="193" spans="1:7" x14ac:dyDescent="0.25">
      <c r="A193" s="22" t="s">
        <v>70</v>
      </c>
      <c r="E193" s="2">
        <v>20</v>
      </c>
      <c r="F193" s="125">
        <v>18</v>
      </c>
      <c r="G193" s="125">
        <v>19</v>
      </c>
    </row>
    <row r="194" spans="1:7" x14ac:dyDescent="0.25">
      <c r="A194" s="22" t="s">
        <v>67</v>
      </c>
      <c r="E194" s="2">
        <v>19</v>
      </c>
      <c r="F194" s="125">
        <v>19</v>
      </c>
      <c r="G194" s="125">
        <v>21</v>
      </c>
    </row>
    <row r="195" spans="1:7" x14ac:dyDescent="0.25">
      <c r="A195" s="22" t="s">
        <v>71</v>
      </c>
      <c r="E195" s="2">
        <v>20</v>
      </c>
      <c r="F195" s="125">
        <v>18</v>
      </c>
      <c r="G195" s="125">
        <v>19</v>
      </c>
    </row>
    <row r="197" spans="1:7" x14ac:dyDescent="0.25">
      <c r="A197" s="124" t="s">
        <v>80</v>
      </c>
    </row>
    <row r="198" spans="1:7" x14ac:dyDescent="0.25">
      <c r="A198" s="22" t="s">
        <v>16</v>
      </c>
      <c r="D198" s="2">
        <v>10</v>
      </c>
      <c r="E198" s="2">
        <v>0</v>
      </c>
      <c r="F198" s="125">
        <v>2</v>
      </c>
      <c r="G198" s="125">
        <v>1</v>
      </c>
    </row>
    <row r="199" spans="1:7" x14ac:dyDescent="0.25">
      <c r="A199" s="22" t="s">
        <v>37</v>
      </c>
      <c r="D199" s="2">
        <v>10</v>
      </c>
      <c r="E199" s="2">
        <v>0</v>
      </c>
      <c r="F199" s="125">
        <v>3</v>
      </c>
      <c r="G199" s="125">
        <v>2</v>
      </c>
    </row>
    <row r="200" spans="1:7" x14ac:dyDescent="0.25">
      <c r="A200" s="22" t="s">
        <v>68</v>
      </c>
      <c r="D200" s="7"/>
      <c r="E200" s="7">
        <v>11900</v>
      </c>
      <c r="F200" s="7">
        <v>11200</v>
      </c>
      <c r="G200" s="7">
        <v>14000</v>
      </c>
    </row>
    <row r="201" spans="1:7" x14ac:dyDescent="0.25">
      <c r="A201" s="22" t="s">
        <v>72</v>
      </c>
      <c r="D201" s="7"/>
      <c r="E201" s="7">
        <v>22100</v>
      </c>
      <c r="F201" s="7">
        <v>19500</v>
      </c>
      <c r="G201" s="7">
        <v>22100</v>
      </c>
    </row>
    <row r="202" spans="1:7" x14ac:dyDescent="0.25">
      <c r="A202" s="22" t="s">
        <v>22</v>
      </c>
      <c r="D202" s="7"/>
      <c r="E202" s="7">
        <v>0</v>
      </c>
      <c r="F202" s="7">
        <v>24</v>
      </c>
      <c r="G202" s="7">
        <v>12</v>
      </c>
    </row>
    <row r="203" spans="1:7" x14ac:dyDescent="0.25">
      <c r="A203" s="22" t="s">
        <v>38</v>
      </c>
      <c r="D203" s="7"/>
      <c r="E203" s="7">
        <v>0</v>
      </c>
      <c r="F203" s="7">
        <v>57</v>
      </c>
      <c r="G203" s="7">
        <v>38</v>
      </c>
    </row>
    <row r="204" spans="1:7" x14ac:dyDescent="0.25">
      <c r="A204" s="22" t="s">
        <v>66</v>
      </c>
      <c r="E204" s="2">
        <v>17</v>
      </c>
      <c r="F204" s="125">
        <v>16</v>
      </c>
      <c r="G204" s="125">
        <v>20</v>
      </c>
    </row>
    <row r="205" spans="1:7" x14ac:dyDescent="0.25">
      <c r="A205" s="22" t="s">
        <v>70</v>
      </c>
      <c r="E205" s="2">
        <v>17</v>
      </c>
      <c r="F205" s="125">
        <v>15</v>
      </c>
      <c r="G205" s="125">
        <v>17</v>
      </c>
    </row>
    <row r="206" spans="1:7" x14ac:dyDescent="0.25">
      <c r="A206" s="22" t="s">
        <v>67</v>
      </c>
      <c r="E206" s="2">
        <v>17</v>
      </c>
      <c r="F206" s="125">
        <v>16</v>
      </c>
      <c r="G206" s="125">
        <v>20</v>
      </c>
    </row>
    <row r="207" spans="1:7" x14ac:dyDescent="0.25">
      <c r="A207" s="22" t="s">
        <v>71</v>
      </c>
      <c r="E207" s="2">
        <v>17</v>
      </c>
      <c r="F207" s="125">
        <v>15</v>
      </c>
      <c r="G207" s="125">
        <v>17</v>
      </c>
    </row>
    <row r="209" spans="1:7" x14ac:dyDescent="0.25">
      <c r="A209" s="124" t="s">
        <v>81</v>
      </c>
    </row>
    <row r="210" spans="1:7" x14ac:dyDescent="0.25">
      <c r="A210" s="22" t="s">
        <v>16</v>
      </c>
      <c r="D210" s="2">
        <v>10</v>
      </c>
      <c r="E210" s="2">
        <v>0</v>
      </c>
      <c r="F210" s="125">
        <v>2</v>
      </c>
      <c r="G210" s="125">
        <v>3</v>
      </c>
    </row>
    <row r="211" spans="1:7" x14ac:dyDescent="0.25">
      <c r="A211" s="22" t="s">
        <v>37</v>
      </c>
      <c r="D211" s="2">
        <v>10</v>
      </c>
      <c r="E211" s="2">
        <v>23</v>
      </c>
      <c r="F211" s="125">
        <v>8</v>
      </c>
      <c r="G211" s="125">
        <v>13</v>
      </c>
    </row>
    <row r="212" spans="1:7" x14ac:dyDescent="0.25">
      <c r="A212" s="22" t="s">
        <v>68</v>
      </c>
      <c r="D212" s="7"/>
      <c r="E212" s="7">
        <v>15200</v>
      </c>
      <c r="F212" s="7">
        <v>13600</v>
      </c>
      <c r="G212" s="7">
        <v>12000</v>
      </c>
    </row>
    <row r="213" spans="1:7" x14ac:dyDescent="0.25">
      <c r="A213" s="22" t="s">
        <v>72</v>
      </c>
      <c r="D213" s="7"/>
      <c r="E213" s="7">
        <v>23800</v>
      </c>
      <c r="F213" s="7">
        <v>21000</v>
      </c>
      <c r="G213" s="7">
        <v>19600</v>
      </c>
    </row>
    <row r="214" spans="1:7" x14ac:dyDescent="0.25">
      <c r="A214" s="22" t="s">
        <v>22</v>
      </c>
      <c r="D214" s="7"/>
      <c r="E214" s="7">
        <v>0</v>
      </c>
      <c r="F214" s="7">
        <v>24</v>
      </c>
      <c r="G214" s="7">
        <v>36</v>
      </c>
    </row>
    <row r="215" spans="1:7" x14ac:dyDescent="0.25">
      <c r="A215" s="22" t="s">
        <v>38</v>
      </c>
      <c r="D215" s="7"/>
      <c r="E215" s="7">
        <v>437</v>
      </c>
      <c r="F215" s="7">
        <v>152</v>
      </c>
      <c r="G215" s="7">
        <v>247</v>
      </c>
    </row>
    <row r="216" spans="1:7" x14ac:dyDescent="0.25">
      <c r="A216" s="22" t="s">
        <v>66</v>
      </c>
      <c r="E216" s="2">
        <v>19</v>
      </c>
      <c r="F216" s="125">
        <v>17</v>
      </c>
      <c r="G216" s="125">
        <v>15</v>
      </c>
    </row>
    <row r="217" spans="1:7" x14ac:dyDescent="0.25">
      <c r="A217" s="22" t="s">
        <v>70</v>
      </c>
      <c r="E217" s="2">
        <v>17</v>
      </c>
      <c r="F217" s="125">
        <v>15</v>
      </c>
      <c r="G217" s="125">
        <v>14</v>
      </c>
    </row>
    <row r="218" spans="1:7" x14ac:dyDescent="0.25">
      <c r="A218" s="22" t="s">
        <v>67</v>
      </c>
      <c r="E218" s="2">
        <v>19</v>
      </c>
      <c r="F218" s="125">
        <v>17</v>
      </c>
      <c r="G218" s="125">
        <v>15</v>
      </c>
    </row>
    <row r="219" spans="1:7" x14ac:dyDescent="0.25">
      <c r="A219" s="22" t="s">
        <v>71</v>
      </c>
      <c r="E219" s="2">
        <v>17</v>
      </c>
      <c r="F219" s="125">
        <v>15</v>
      </c>
      <c r="G219" s="125">
        <v>14</v>
      </c>
    </row>
    <row r="221" spans="1:7" x14ac:dyDescent="0.25">
      <c r="A221" s="124" t="s">
        <v>82</v>
      </c>
    </row>
    <row r="222" spans="1:7" x14ac:dyDescent="0.25">
      <c r="A222" s="22" t="s">
        <v>16</v>
      </c>
      <c r="D222" s="2">
        <v>10</v>
      </c>
      <c r="E222" s="2">
        <v>0</v>
      </c>
      <c r="F222" s="125">
        <v>6</v>
      </c>
      <c r="G222" s="125">
        <v>5</v>
      </c>
    </row>
    <row r="223" spans="1:7" x14ac:dyDescent="0.25">
      <c r="A223" s="22" t="s">
        <v>37</v>
      </c>
      <c r="D223" s="2">
        <v>10</v>
      </c>
      <c r="E223" s="2">
        <v>0</v>
      </c>
      <c r="F223" s="125">
        <v>34</v>
      </c>
      <c r="G223" s="125">
        <v>18</v>
      </c>
    </row>
    <row r="224" spans="1:7" x14ac:dyDescent="0.25">
      <c r="A224" s="22" t="s">
        <v>68</v>
      </c>
      <c r="D224" s="7"/>
      <c r="E224" s="7">
        <v>25000</v>
      </c>
      <c r="F224" s="7">
        <v>24000</v>
      </c>
      <c r="G224" s="7">
        <v>25000</v>
      </c>
    </row>
    <row r="225" spans="1:16" x14ac:dyDescent="0.25">
      <c r="A225" s="22" t="s">
        <v>72</v>
      </c>
      <c r="D225" s="7"/>
      <c r="E225" s="7">
        <v>28800</v>
      </c>
      <c r="F225" s="7">
        <v>24000</v>
      </c>
      <c r="G225" s="7">
        <v>25600</v>
      </c>
    </row>
    <row r="226" spans="1:16" x14ac:dyDescent="0.25">
      <c r="A226" s="22" t="s">
        <v>22</v>
      </c>
      <c r="D226" s="7"/>
      <c r="E226" s="7">
        <v>0</v>
      </c>
      <c r="F226" s="7">
        <v>72</v>
      </c>
      <c r="G226" s="7">
        <v>60</v>
      </c>
    </row>
    <row r="227" spans="1:16" x14ac:dyDescent="0.25">
      <c r="A227" s="22" t="s">
        <v>38</v>
      </c>
      <c r="D227" s="7"/>
      <c r="E227" s="7">
        <v>0</v>
      </c>
      <c r="F227" s="7">
        <v>646</v>
      </c>
      <c r="G227" s="7">
        <v>342</v>
      </c>
    </row>
    <row r="228" spans="1:16" x14ac:dyDescent="0.25">
      <c r="A228" s="22" t="s">
        <v>66</v>
      </c>
      <c r="E228" s="2">
        <v>25</v>
      </c>
      <c r="F228" s="125">
        <v>24</v>
      </c>
      <c r="G228" s="125">
        <v>25</v>
      </c>
    </row>
    <row r="229" spans="1:16" x14ac:dyDescent="0.25">
      <c r="A229" s="22" t="s">
        <v>70</v>
      </c>
      <c r="E229" s="2">
        <v>18</v>
      </c>
      <c r="F229" s="125">
        <v>15</v>
      </c>
      <c r="G229" s="125">
        <v>16</v>
      </c>
    </row>
    <row r="230" spans="1:16" x14ac:dyDescent="0.25">
      <c r="A230" s="22" t="s">
        <v>67</v>
      </c>
      <c r="E230" s="2">
        <v>25</v>
      </c>
      <c r="F230" s="125">
        <v>24</v>
      </c>
      <c r="G230" s="125">
        <v>25</v>
      </c>
    </row>
    <row r="231" spans="1:16" x14ac:dyDescent="0.25">
      <c r="A231" s="22" t="s">
        <v>71</v>
      </c>
      <c r="E231" s="2">
        <v>18</v>
      </c>
      <c r="F231" s="125">
        <v>15</v>
      </c>
      <c r="G231" s="125">
        <v>16</v>
      </c>
    </row>
    <row r="233" spans="1:16" s="7" customFormat="1" x14ac:dyDescent="0.25">
      <c r="A233" s="127" t="s">
        <v>364</v>
      </c>
      <c r="E233" s="7">
        <f t="shared" ref="E233:P233" si="0">SUM(E15:E16,E116:E117,E128:E129,E140:E141,E152:E153,E164:E165,E176:E177,E188:E189,E200:E201,E212:E213,E224:E225)</f>
        <v>418600</v>
      </c>
      <c r="F233" s="7">
        <f t="shared" si="0"/>
        <v>407000</v>
      </c>
      <c r="G233" s="7">
        <f t="shared" si="0"/>
        <v>425900</v>
      </c>
      <c r="H233" s="7">
        <f t="shared" si="0"/>
        <v>0</v>
      </c>
      <c r="I233" s="7">
        <f t="shared" si="0"/>
        <v>0</v>
      </c>
      <c r="J233" s="7">
        <f t="shared" si="0"/>
        <v>0</v>
      </c>
      <c r="K233" s="7">
        <f t="shared" si="0"/>
        <v>0</v>
      </c>
      <c r="L233" s="7">
        <f t="shared" si="0"/>
        <v>0</v>
      </c>
      <c r="M233" s="7">
        <f t="shared" si="0"/>
        <v>0</v>
      </c>
      <c r="N233" s="7">
        <f t="shared" si="0"/>
        <v>0</v>
      </c>
      <c r="O233" s="7">
        <f t="shared" si="0"/>
        <v>0</v>
      </c>
      <c r="P233" s="7">
        <f t="shared" si="0"/>
        <v>0</v>
      </c>
    </row>
    <row r="234" spans="1:16" s="7" customFormat="1" x14ac:dyDescent="0.25">
      <c r="A234" s="127" t="s">
        <v>365</v>
      </c>
      <c r="E234" s="7">
        <f t="shared" ref="E234:P234" si="1">SUM(E17:E22,E26,E30:E34,E50:E59,E71:E80,E90,E100,E110,E118:E119,E130:E131,E142:E143,E154:E155,E166:E167,E178:E179,E190:E191,E202:E203,E214:E215,E226:E227)</f>
        <v>407145.5</v>
      </c>
      <c r="F234" s="7">
        <f t="shared" si="1"/>
        <v>473626.5</v>
      </c>
      <c r="G234" s="7">
        <f t="shared" si="1"/>
        <v>450758.5</v>
      </c>
      <c r="H234" s="7">
        <f t="shared" si="1"/>
        <v>0</v>
      </c>
      <c r="I234" s="7">
        <f t="shared" si="1"/>
        <v>0</v>
      </c>
      <c r="J234" s="7">
        <f t="shared" si="1"/>
        <v>0</v>
      </c>
      <c r="K234" s="7">
        <f t="shared" si="1"/>
        <v>0</v>
      </c>
      <c r="L234" s="7">
        <f t="shared" si="1"/>
        <v>0</v>
      </c>
      <c r="M234" s="7">
        <f t="shared" si="1"/>
        <v>0</v>
      </c>
      <c r="N234" s="7">
        <f t="shared" si="1"/>
        <v>0</v>
      </c>
      <c r="O234" s="7">
        <f t="shared" si="1"/>
        <v>0</v>
      </c>
      <c r="P234" s="7">
        <f t="shared" si="1"/>
        <v>0</v>
      </c>
    </row>
    <row r="235" spans="1:16" s="7" customFormat="1" x14ac:dyDescent="0.25">
      <c r="A235" s="127" t="s">
        <v>366</v>
      </c>
      <c r="E235" s="7">
        <f t="shared" ref="E235:P235" si="2">E233-E234</f>
        <v>11454.5</v>
      </c>
      <c r="F235" s="7">
        <f t="shared" si="2"/>
        <v>-66626.5</v>
      </c>
      <c r="G235" s="7">
        <f t="shared" si="2"/>
        <v>-24858.5</v>
      </c>
      <c r="H235" s="7">
        <f t="shared" si="2"/>
        <v>0</v>
      </c>
      <c r="I235" s="7">
        <f t="shared" si="2"/>
        <v>0</v>
      </c>
      <c r="J235" s="7">
        <f t="shared" si="2"/>
        <v>0</v>
      </c>
      <c r="K235" s="7">
        <f t="shared" si="2"/>
        <v>0</v>
      </c>
      <c r="L235" s="7">
        <f t="shared" si="2"/>
        <v>0</v>
      </c>
      <c r="M235" s="7">
        <f t="shared" si="2"/>
        <v>0</v>
      </c>
      <c r="N235" s="7">
        <f t="shared" si="2"/>
        <v>0</v>
      </c>
      <c r="O235" s="7">
        <f t="shared" si="2"/>
        <v>0</v>
      </c>
      <c r="P235" s="7">
        <f t="shared" si="2"/>
        <v>0</v>
      </c>
    </row>
    <row r="236" spans="1:16" s="11" customFormat="1" x14ac:dyDescent="0.25">
      <c r="A236" s="128" t="s">
        <v>367</v>
      </c>
      <c r="E236" s="11">
        <f t="shared" ref="E236:P236" si="3">SUM(E23,E27,E35:E39,E60,E81,E91,E101,E111)</f>
        <v>340808.32</v>
      </c>
      <c r="F236" s="11">
        <f t="shared" si="3"/>
        <v>382054.63999999996</v>
      </c>
      <c r="G236" s="11">
        <f t="shared" si="3"/>
        <v>374214.48</v>
      </c>
      <c r="H236" s="11">
        <f t="shared" si="3"/>
        <v>0</v>
      </c>
      <c r="I236" s="11">
        <f t="shared" si="3"/>
        <v>0</v>
      </c>
      <c r="J236" s="11">
        <f t="shared" si="3"/>
        <v>0</v>
      </c>
      <c r="K236" s="11">
        <f t="shared" si="3"/>
        <v>0</v>
      </c>
      <c r="L236" s="11">
        <f t="shared" si="3"/>
        <v>0</v>
      </c>
      <c r="M236" s="11">
        <f t="shared" si="3"/>
        <v>0</v>
      </c>
      <c r="N236" s="11">
        <f t="shared" si="3"/>
        <v>0</v>
      </c>
      <c r="O236" s="11">
        <f t="shared" si="3"/>
        <v>0</v>
      </c>
      <c r="P236" s="11">
        <f t="shared" si="3"/>
        <v>0</v>
      </c>
    </row>
  </sheetData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DD3A7-4986-46BF-9E85-C9ED54220D8F}">
  <dimension ref="A1:AD54"/>
  <sheetViews>
    <sheetView topLeftCell="A13" zoomScale="75" workbookViewId="0">
      <selection activeCell="AG52" sqref="AG52"/>
    </sheetView>
  </sheetViews>
  <sheetFormatPr baseColWidth="10" defaultColWidth="13.5546875" defaultRowHeight="15.75" customHeight="1" x14ac:dyDescent="0.25"/>
  <cols>
    <col min="1" max="4" width="3.33203125" style="2" customWidth="1"/>
    <col min="5" max="12" width="8.88671875" style="2" customWidth="1"/>
    <col min="13" max="13" width="5.33203125" style="2" customWidth="1"/>
    <col min="14" max="21" width="8.88671875" style="2" customWidth="1"/>
    <col min="22" max="22" width="5.33203125" style="2" customWidth="1"/>
    <col min="23" max="30" width="8.88671875" style="2" customWidth="1"/>
    <col min="31" max="31" width="5.33203125" style="2" customWidth="1"/>
    <col min="32" max="16384" width="13.5546875" style="2"/>
  </cols>
  <sheetData>
    <row r="1" spans="1:1" s="20" customFormat="1" ht="15.75" customHeight="1" x14ac:dyDescent="0.25">
      <c r="A1" s="20" t="str">
        <f ca="1">LEFT(A2,A3-1)</f>
        <v>X:\MLT\Kiwis_2024\Profs\Equipe 03\</v>
      </c>
    </row>
    <row r="2" spans="1:1" s="20" customFormat="1" ht="15.75" customHeight="1" x14ac:dyDescent="0.25">
      <c r="A2" s="20" t="str">
        <f ca="1">CELL("nomfichier",A3)</f>
        <v>X:\MLT\Kiwis_2024\Profs\Equipe 03\[decision3.xlsx]Execution_Transports</v>
      </c>
    </row>
    <row r="3" spans="1:1" s="20" customFormat="1" ht="15.75" customHeight="1" x14ac:dyDescent="0.25">
      <c r="A3" s="20">
        <f ca="1">SEARCH("[",A2,1)</f>
        <v>35</v>
      </c>
    </row>
    <row r="4" spans="1:1" s="20" customFormat="1" ht="15.75" customHeight="1" x14ac:dyDescent="0.25">
      <c r="A4" s="20" t="s">
        <v>368</v>
      </c>
    </row>
    <row r="5" spans="1:1" s="20" customFormat="1" ht="15.75" customHeight="1" x14ac:dyDescent="0.25"/>
    <row r="6" spans="1:1" s="20" customFormat="1" ht="15.75" customHeight="1" x14ac:dyDescent="0.25"/>
    <row r="7" spans="1:1" s="20" customFormat="1" ht="15.75" customHeight="1" x14ac:dyDescent="0.25"/>
    <row r="8" spans="1:1" s="20" customFormat="1" ht="15.75" customHeight="1" x14ac:dyDescent="0.25"/>
    <row r="9" spans="1:1" s="20" customFormat="1" ht="15.75" customHeight="1" x14ac:dyDescent="0.25"/>
    <row r="10" spans="1:1" s="20" customFormat="1" ht="15.75" customHeight="1" x14ac:dyDescent="0.25"/>
    <row r="11" spans="1:1" s="20" customFormat="1" ht="15.75" customHeight="1" x14ac:dyDescent="0.25"/>
    <row r="12" spans="1:1" s="20" customFormat="1" ht="15.75" customHeight="1" x14ac:dyDescent="0.25"/>
    <row r="13" spans="1:1" s="20" customFormat="1" ht="15.75" customHeight="1" x14ac:dyDescent="0.25"/>
    <row r="14" spans="1:1" s="20" customFormat="1" ht="13.2" x14ac:dyDescent="0.25"/>
    <row r="15" spans="1:1" s="20" customFormat="1" ht="15.75" customHeight="1" x14ac:dyDescent="0.25"/>
    <row r="16" spans="1:1" s="20" customFormat="1" ht="15.75" customHeight="1" x14ac:dyDescent="0.25"/>
    <row r="17" spans="1:30" s="20" customFormat="1" ht="15.75" customHeight="1" x14ac:dyDescent="0.25"/>
    <row r="18" spans="1:30" s="20" customFormat="1" ht="15.75" customHeight="1" x14ac:dyDescent="0.25"/>
    <row r="19" spans="1:30" s="20" customFormat="1" ht="15.75" customHeight="1" x14ac:dyDescent="0.25"/>
    <row r="20" spans="1:30" s="20" customFormat="1" ht="15.75" customHeight="1" x14ac:dyDescent="0.25"/>
    <row r="21" spans="1:30" s="20" customFormat="1" ht="15.75" customHeight="1" x14ac:dyDescent="0.25"/>
    <row r="22" spans="1:30" s="20" customFormat="1" ht="15.75" customHeight="1" x14ac:dyDescent="0.25"/>
    <row r="23" spans="1:30" ht="15.75" customHeight="1" x14ac:dyDescent="0.25">
      <c r="A23" s="2">
        <v>1</v>
      </c>
      <c r="B23" s="2">
        <v>2</v>
      </c>
      <c r="C23" s="2">
        <v>3</v>
      </c>
      <c r="D23" s="2">
        <v>4</v>
      </c>
      <c r="E23" s="2">
        <v>5</v>
      </c>
      <c r="F23" s="2">
        <v>6</v>
      </c>
      <c r="G23" s="2">
        <v>7</v>
      </c>
      <c r="H23" s="2">
        <v>8</v>
      </c>
      <c r="I23" s="2">
        <v>9</v>
      </c>
      <c r="J23" s="2">
        <v>10</v>
      </c>
      <c r="K23" s="2">
        <v>11</v>
      </c>
      <c r="L23" s="2">
        <v>12</v>
      </c>
      <c r="M23" s="2">
        <v>13</v>
      </c>
      <c r="N23" s="2">
        <v>14</v>
      </c>
      <c r="O23" s="2">
        <v>15</v>
      </c>
      <c r="P23" s="2">
        <v>16</v>
      </c>
      <c r="Q23" s="2">
        <v>17</v>
      </c>
      <c r="R23" s="2">
        <v>18</v>
      </c>
      <c r="S23" s="2">
        <v>19</v>
      </c>
      <c r="T23" s="2">
        <v>20</v>
      </c>
      <c r="U23" s="2">
        <v>21</v>
      </c>
      <c r="V23" s="2">
        <v>22</v>
      </c>
      <c r="W23" s="2">
        <v>23</v>
      </c>
      <c r="X23" s="2">
        <v>24</v>
      </c>
      <c r="Y23" s="2">
        <v>25</v>
      </c>
      <c r="Z23" s="2">
        <v>26</v>
      </c>
      <c r="AA23" s="2">
        <v>27</v>
      </c>
      <c r="AB23" s="2">
        <v>28</v>
      </c>
      <c r="AC23" s="2">
        <v>29</v>
      </c>
      <c r="AD23" s="2">
        <v>30</v>
      </c>
    </row>
    <row r="24" spans="1:30" s="20" customFormat="1" ht="15.75" customHeight="1" x14ac:dyDescent="0.25"/>
    <row r="25" spans="1:30" s="20" customFormat="1" ht="15.75" customHeight="1" x14ac:dyDescent="0.25">
      <c r="H25" s="30"/>
      <c r="I25" s="30"/>
      <c r="J25" s="30"/>
      <c r="K25" s="30"/>
      <c r="L25" s="30"/>
      <c r="Q25" s="30"/>
      <c r="R25" s="30"/>
      <c r="S25" s="30"/>
      <c r="T25" s="30"/>
      <c r="U25" s="30"/>
      <c r="Z25" s="30"/>
      <c r="AA25" s="30"/>
      <c r="AB25" s="30"/>
      <c r="AC25" s="30"/>
      <c r="AD25" s="30"/>
    </row>
    <row r="26" spans="1:30" s="20" customFormat="1" ht="15.75" customHeight="1" x14ac:dyDescent="0.25">
      <c r="E26" s="129" t="s">
        <v>369</v>
      </c>
      <c r="F26" s="129" t="s">
        <v>312</v>
      </c>
      <c r="G26" s="129" t="s">
        <v>53</v>
      </c>
      <c r="H26" s="129" t="s">
        <v>370</v>
      </c>
      <c r="I26" s="55" t="s">
        <v>316</v>
      </c>
      <c r="J26" s="55"/>
      <c r="K26" s="55" t="s">
        <v>318</v>
      </c>
      <c r="L26" s="55"/>
      <c r="N26" s="129" t="s">
        <v>369</v>
      </c>
      <c r="O26" s="129" t="s">
        <v>312</v>
      </c>
      <c r="P26" s="129" t="s">
        <v>53</v>
      </c>
      <c r="Q26" s="129" t="s">
        <v>370</v>
      </c>
      <c r="R26" s="55" t="s">
        <v>316</v>
      </c>
      <c r="S26" s="55"/>
      <c r="T26" s="55" t="s">
        <v>318</v>
      </c>
      <c r="U26" s="55"/>
      <c r="W26" s="129" t="s">
        <v>369</v>
      </c>
      <c r="X26" s="129" t="s">
        <v>312</v>
      </c>
      <c r="Y26" s="129" t="s">
        <v>53</v>
      </c>
      <c r="Z26" s="129" t="s">
        <v>370</v>
      </c>
      <c r="AA26" s="55" t="s">
        <v>316</v>
      </c>
      <c r="AB26" s="55"/>
      <c r="AC26" s="55" t="s">
        <v>318</v>
      </c>
      <c r="AD26" s="55"/>
    </row>
    <row r="27" spans="1:30" s="20" customFormat="1" ht="15.75" customHeight="1" x14ac:dyDescent="0.25">
      <c r="E27" s="130"/>
      <c r="F27" s="130"/>
      <c r="G27" s="14"/>
      <c r="H27" s="130"/>
      <c r="I27" s="14" t="s">
        <v>371</v>
      </c>
      <c r="J27" s="14" t="s">
        <v>372</v>
      </c>
      <c r="K27" s="14" t="s">
        <v>371</v>
      </c>
      <c r="L27" s="14" t="s">
        <v>372</v>
      </c>
      <c r="N27" s="130"/>
      <c r="O27" s="130"/>
      <c r="P27" s="14"/>
      <c r="Q27" s="130"/>
      <c r="R27" s="14" t="s">
        <v>371</v>
      </c>
      <c r="S27" s="14" t="s">
        <v>372</v>
      </c>
      <c r="T27" s="14" t="s">
        <v>371</v>
      </c>
      <c r="U27" s="14" t="s">
        <v>372</v>
      </c>
      <c r="W27" s="130"/>
      <c r="X27" s="130"/>
      <c r="Y27" s="14"/>
      <c r="Z27" s="130"/>
      <c r="AA27" s="14" t="s">
        <v>371</v>
      </c>
      <c r="AB27" s="14" t="s">
        <v>372</v>
      </c>
      <c r="AC27" s="14" t="s">
        <v>371</v>
      </c>
      <c r="AD27" s="14" t="s">
        <v>372</v>
      </c>
    </row>
    <row r="28" spans="1:30" ht="15.75" customHeight="1" x14ac:dyDescent="0.25">
      <c r="A28" s="20"/>
      <c r="B28" s="20"/>
      <c r="C28" s="20"/>
      <c r="D28" s="20"/>
      <c r="E28" s="14" t="s">
        <v>14</v>
      </c>
      <c r="F28" s="14" t="str">
        <f>Order!D28</f>
        <v>Lorry 1</v>
      </c>
      <c r="G28" s="14">
        <f>IF(OR(E28=0,H28=0),0,INDEX(Distances!$E$15:$P$26,MATCH(E28,Distances!$C$15:$C$26,0),MATCH(H28,Distances!$E$13:$P$13,0)))</f>
        <v>0</v>
      </c>
      <c r="H28" s="14" t="str">
        <f>Order!E28</f>
        <v>Arnhem factory</v>
      </c>
      <c r="I28" s="14">
        <f>Order!F28</f>
        <v>66</v>
      </c>
      <c r="J28" s="14">
        <f>Order!G28</f>
        <v>0</v>
      </c>
      <c r="K28" s="14">
        <f>Order!H28</f>
        <v>0</v>
      </c>
      <c r="L28" s="14">
        <f>Order!I28</f>
        <v>0</v>
      </c>
      <c r="N28" s="14" t="s">
        <v>14</v>
      </c>
      <c r="O28" s="14" t="str">
        <f>Order!L28</f>
        <v>Lorry 1</v>
      </c>
      <c r="P28" s="14">
        <f>IF(OR(N28=0,Q28=0),0,INDEX(Distances!$E$15:$P$26,MATCH(N28,Distances!$C$15:$C$26,0),MATCH(Q28,Distances!$E$13:$P$13,0)))</f>
        <v>0</v>
      </c>
      <c r="Q28" s="14" t="str">
        <f>Order!M28</f>
        <v>Arnhem factory</v>
      </c>
      <c r="R28" s="14">
        <f>Order!N28</f>
        <v>66</v>
      </c>
      <c r="S28" s="14">
        <f>Order!O28</f>
        <v>0</v>
      </c>
      <c r="T28" s="14">
        <f>Order!P28</f>
        <v>0</v>
      </c>
      <c r="U28" s="14">
        <f>Order!Q28</f>
        <v>0</v>
      </c>
      <c r="W28" s="14">
        <v>0</v>
      </c>
      <c r="X28" s="14">
        <f>Order!T28</f>
        <v>0</v>
      </c>
      <c r="Y28" s="14">
        <f>IF(OR(W28=0,Z28=0),0,INDEX(Distances!$E$15:$P$26,MATCH(W28,Distances!$C$15:$C$26,0),MATCH(Z28,Distances!$E$13:$P$13,0)))</f>
        <v>0</v>
      </c>
      <c r="Z28" s="14">
        <f>Order!U28</f>
        <v>0</v>
      </c>
      <c r="AA28" s="14">
        <f>Order!V28</f>
        <v>0</v>
      </c>
      <c r="AB28" s="14">
        <f>Order!W28</f>
        <v>0</v>
      </c>
      <c r="AC28" s="14">
        <f>Order!X28</f>
        <v>0</v>
      </c>
      <c r="AD28" s="14">
        <f>Order!Y28</f>
        <v>0</v>
      </c>
    </row>
    <row r="29" spans="1:30" ht="15.75" customHeight="1" x14ac:dyDescent="0.25">
      <c r="A29" s="20"/>
      <c r="B29" s="20"/>
      <c r="C29" s="20"/>
      <c r="D29" s="20"/>
      <c r="E29" s="14" t="s">
        <v>39</v>
      </c>
      <c r="F29" s="14" t="str">
        <f>Order!D29</f>
        <v>Lorry 2</v>
      </c>
      <c r="G29" s="14">
        <f>IF(OR(E29=0,H29=0),0,INDEX(Distances!$E$15:$P$26,MATCH(E29,Distances!$C$15:$C$26,0),MATCH(H29,Distances!$E$13:$P$13,0)))</f>
        <v>0</v>
      </c>
      <c r="H29" s="14" t="str">
        <f>Order!E29</f>
        <v>Vesoul factory</v>
      </c>
      <c r="I29" s="14">
        <f>Order!F29</f>
        <v>0</v>
      </c>
      <c r="J29" s="14">
        <f>Order!G29</f>
        <v>50</v>
      </c>
      <c r="K29" s="14">
        <f>Order!H29</f>
        <v>0</v>
      </c>
      <c r="L29" s="14">
        <f>Order!I29</f>
        <v>0</v>
      </c>
      <c r="N29" s="14" t="s">
        <v>14</v>
      </c>
      <c r="O29" s="14" t="str">
        <f>Order!L29</f>
        <v>Lorry 1</v>
      </c>
      <c r="P29" s="14">
        <f>IF(OR(N29=0,Q29=0),0,INDEX(Distances!$E$15:$P$26,MATCH(N29,Distances!$C$15:$C$26,0),MATCH(Q29,Distances!$E$13:$P$13,0)))</f>
        <v>1771</v>
      </c>
      <c r="Q29" s="14" t="str">
        <f>Order!M29</f>
        <v>Rauma</v>
      </c>
      <c r="R29" s="14">
        <f>Order!N29</f>
        <v>0</v>
      </c>
      <c r="S29" s="14">
        <f>Order!O29</f>
        <v>0</v>
      </c>
      <c r="T29" s="14">
        <f>Order!P29</f>
        <v>66</v>
      </c>
      <c r="U29" s="14">
        <f>Order!Q29</f>
        <v>0</v>
      </c>
      <c r="W29" s="14">
        <v>0</v>
      </c>
      <c r="X29" s="14">
        <f>Order!T29</f>
        <v>0</v>
      </c>
      <c r="Y29" s="14">
        <f>IF(OR(W29=0,Z29=0),0,INDEX(Distances!$E$15:$P$26,MATCH(W29,Distances!$C$15:$C$26,0),MATCH(Z29,Distances!$E$13:$P$13,0)))</f>
        <v>0</v>
      </c>
      <c r="Z29" s="14">
        <f>Order!U29</f>
        <v>0</v>
      </c>
      <c r="AA29" s="14">
        <f>Order!V29</f>
        <v>0</v>
      </c>
      <c r="AB29" s="14">
        <f>Order!W29</f>
        <v>0</v>
      </c>
      <c r="AC29" s="14">
        <f>Order!X29</f>
        <v>0</v>
      </c>
      <c r="AD29" s="14">
        <f>Order!Y29</f>
        <v>0</v>
      </c>
    </row>
    <row r="30" spans="1:30" ht="15.75" customHeight="1" x14ac:dyDescent="0.25">
      <c r="E30" s="14" t="s">
        <v>65</v>
      </c>
      <c r="F30" s="14" t="str">
        <f>Order!D30</f>
        <v>Lorry 3</v>
      </c>
      <c r="G30" s="14">
        <f>IF(OR(E30=0,H30=0),0,INDEX(Distances!$E$15:$P$26,MATCH(E30,Distances!$C$15:$C$26,0),MATCH(H30,Distances!$E$13:$P$13,0)))</f>
        <v>0</v>
      </c>
      <c r="H30" s="14" t="str">
        <f>Order!E30</f>
        <v>Paris</v>
      </c>
      <c r="I30" s="14">
        <f>Order!F30</f>
        <v>0</v>
      </c>
      <c r="J30" s="14">
        <f>Order!G30</f>
        <v>0</v>
      </c>
      <c r="K30" s="14">
        <f>Order!H30</f>
        <v>0</v>
      </c>
      <c r="L30" s="14">
        <f>Order!I30</f>
        <v>0</v>
      </c>
      <c r="N30" s="14" t="s">
        <v>74</v>
      </c>
      <c r="O30" s="14" t="str">
        <f>Order!L30</f>
        <v>Lorry 1</v>
      </c>
      <c r="P30" s="14">
        <f>IF(OR(N30=0,Q30=0),0,INDEX(Distances!$E$15:$P$26,MATCH(N30,Distances!$C$15:$C$26,0),MATCH(Q30,Distances!$E$13:$P$13,0)))</f>
        <v>1771</v>
      </c>
      <c r="Q30" s="14" t="str">
        <f>Order!M30</f>
        <v>Arnhem factory</v>
      </c>
      <c r="R30" s="14">
        <f>Order!N30</f>
        <v>0</v>
      </c>
      <c r="S30" s="14">
        <f>Order!O30</f>
        <v>0</v>
      </c>
      <c r="T30" s="14">
        <f>Order!P30</f>
        <v>0</v>
      </c>
      <c r="U30" s="14">
        <f>Order!Q30</f>
        <v>0</v>
      </c>
      <c r="W30" s="14">
        <v>0</v>
      </c>
      <c r="X30" s="14">
        <f>Order!T30</f>
        <v>0</v>
      </c>
      <c r="Y30" s="14">
        <f>IF(OR(W30=0,Z30=0),0,INDEX(Distances!$E$15:$P$26,MATCH(W30,Distances!$C$15:$C$26,0),MATCH(Z30,Distances!$E$13:$P$13,0)))</f>
        <v>0</v>
      </c>
      <c r="Z30" s="14">
        <f>Order!U30</f>
        <v>0</v>
      </c>
      <c r="AA30" s="14">
        <f>Order!V30</f>
        <v>0</v>
      </c>
      <c r="AB30" s="14">
        <f>Order!W30</f>
        <v>0</v>
      </c>
      <c r="AC30" s="14">
        <f>Order!X30</f>
        <v>0</v>
      </c>
      <c r="AD30" s="14">
        <f>Order!Y30</f>
        <v>0</v>
      </c>
    </row>
    <row r="31" spans="1:30" ht="15.75" customHeight="1" x14ac:dyDescent="0.25">
      <c r="E31" s="14" t="s">
        <v>39</v>
      </c>
      <c r="F31" s="14" t="str">
        <f>Order!D31</f>
        <v>Lorry 2</v>
      </c>
      <c r="G31" s="14">
        <f>IF(OR(E31=0,H31=0),0,INDEX(Distances!$E$15:$P$26,MATCH(E31,Distances!$C$15:$C$26,0),MATCH(H31,Distances!$E$13:$P$13,0)))</f>
        <v>1504</v>
      </c>
      <c r="H31" s="14" t="str">
        <f>Order!E31</f>
        <v>Warsaw</v>
      </c>
      <c r="I31" s="14">
        <f>Order!F31</f>
        <v>0</v>
      </c>
      <c r="J31" s="14">
        <f>Order!G31</f>
        <v>0</v>
      </c>
      <c r="K31" s="14">
        <f>Order!H31</f>
        <v>0</v>
      </c>
      <c r="L31" s="14">
        <f>Order!I31</f>
        <v>19</v>
      </c>
      <c r="N31" s="14">
        <v>0</v>
      </c>
      <c r="O31" s="14">
        <f>Order!L31</f>
        <v>0</v>
      </c>
      <c r="P31" s="14">
        <f>IF(OR(N31=0,Q31=0),0,INDEX(Distances!$E$15:$P$26,MATCH(N31,Distances!$C$15:$C$26,0),MATCH(Q31,Distances!$E$13:$P$13,0)))</f>
        <v>0</v>
      </c>
      <c r="Q31" s="14">
        <f>Order!M31</f>
        <v>0</v>
      </c>
      <c r="R31" s="14">
        <f>Order!N31</f>
        <v>0</v>
      </c>
      <c r="S31" s="14">
        <f>Order!O31</f>
        <v>0</v>
      </c>
      <c r="T31" s="14">
        <f>Order!P31</f>
        <v>0</v>
      </c>
      <c r="U31" s="14">
        <f>Order!Q31</f>
        <v>0</v>
      </c>
      <c r="W31" s="14">
        <v>0</v>
      </c>
      <c r="X31" s="14">
        <f>Order!T31</f>
        <v>0</v>
      </c>
      <c r="Y31" s="14">
        <f>IF(OR(W31=0,Z31=0),0,INDEX(Distances!$E$15:$P$26,MATCH(W31,Distances!$C$15:$C$26,0),MATCH(Z31,Distances!$E$13:$P$13,0)))</f>
        <v>0</v>
      </c>
      <c r="Z31" s="14">
        <f>Order!U31</f>
        <v>0</v>
      </c>
      <c r="AA31" s="14">
        <f>Order!V31</f>
        <v>0</v>
      </c>
      <c r="AB31" s="14">
        <f>Order!W31</f>
        <v>0</v>
      </c>
      <c r="AC31" s="14">
        <f>Order!X31</f>
        <v>0</v>
      </c>
      <c r="AD31" s="14">
        <f>Order!Y31</f>
        <v>0</v>
      </c>
    </row>
    <row r="32" spans="1:30" ht="15.75" customHeight="1" x14ac:dyDescent="0.25">
      <c r="E32" s="14" t="s">
        <v>81</v>
      </c>
      <c r="F32" s="14" t="str">
        <f>Order!D32</f>
        <v>Lorry 2</v>
      </c>
      <c r="G32" s="14">
        <f>IF(OR(E32=0,H32=0),0,INDEX(Distances!$E$15:$P$26,MATCH(E32,Distances!$C$15:$C$26,0),MATCH(H32,Distances!$E$13:$P$13,0)))</f>
        <v>1308</v>
      </c>
      <c r="H32" s="14" t="str">
        <f>Order!E32</f>
        <v>Rauma</v>
      </c>
      <c r="I32" s="14">
        <f>Order!F32</f>
        <v>19</v>
      </c>
      <c r="J32" s="14">
        <f>Order!G32</f>
        <v>0</v>
      </c>
      <c r="K32" s="14">
        <f>Order!H32</f>
        <v>0</v>
      </c>
      <c r="L32" s="14">
        <f>Order!I32</f>
        <v>15</v>
      </c>
      <c r="N32" s="14">
        <v>0</v>
      </c>
      <c r="O32" s="14">
        <f>Order!L32</f>
        <v>0</v>
      </c>
      <c r="P32" s="14">
        <f>IF(OR(N32=0,Q32=0),0,INDEX(Distances!$E$15:$P$26,MATCH(N32,Distances!$C$15:$C$26,0),MATCH(Q32,Distances!$E$13:$P$13,0)))</f>
        <v>0</v>
      </c>
      <c r="Q32" s="14">
        <f>Order!M32</f>
        <v>0</v>
      </c>
      <c r="R32" s="14">
        <f>Order!N32</f>
        <v>0</v>
      </c>
      <c r="S32" s="14">
        <f>Order!O32</f>
        <v>0</v>
      </c>
      <c r="T32" s="14">
        <f>Order!P32</f>
        <v>0</v>
      </c>
      <c r="U32" s="14">
        <f>Order!Q32</f>
        <v>0</v>
      </c>
      <c r="W32" s="14">
        <v>0</v>
      </c>
      <c r="X32" s="14">
        <f>Order!T32</f>
        <v>0</v>
      </c>
      <c r="Y32" s="14">
        <f>IF(OR(W32=0,Z32=0),0,INDEX(Distances!$E$15:$P$26,MATCH(W32,Distances!$C$15:$C$26,0),MATCH(Z32,Distances!$E$13:$P$13,0)))</f>
        <v>0</v>
      </c>
      <c r="Z32" s="14">
        <f>Order!U32</f>
        <v>0</v>
      </c>
      <c r="AA32" s="14">
        <f>Order!V32</f>
        <v>0</v>
      </c>
      <c r="AB32" s="14">
        <f>Order!W32</f>
        <v>0</v>
      </c>
      <c r="AC32" s="14">
        <f>Order!X32</f>
        <v>0</v>
      </c>
      <c r="AD32" s="14">
        <f>Order!Y32</f>
        <v>0</v>
      </c>
    </row>
    <row r="33" spans="5:30" ht="15.75" customHeight="1" x14ac:dyDescent="0.25">
      <c r="E33" s="14" t="s">
        <v>74</v>
      </c>
      <c r="F33" s="14" t="str">
        <f>Order!D33</f>
        <v>Lorry 2</v>
      </c>
      <c r="G33" s="14">
        <f>IF(OR(E33=0,H33=0),0,INDEX(Distances!$E$15:$P$26,MATCH(E33,Distances!$C$15:$C$26,0),MATCH(H33,Distances!$E$13:$P$13,0)))</f>
        <v>832</v>
      </c>
      <c r="H33" s="14" t="str">
        <f>Order!E33</f>
        <v>Kemijarvi</v>
      </c>
      <c r="I33" s="14">
        <f>Order!F33</f>
        <v>0</v>
      </c>
      <c r="J33" s="14">
        <f>Order!G33</f>
        <v>0</v>
      </c>
      <c r="K33" s="14">
        <f>Order!H33</f>
        <v>19</v>
      </c>
      <c r="L33" s="14">
        <f>Order!I33</f>
        <v>16</v>
      </c>
      <c r="N33" s="14">
        <v>0</v>
      </c>
      <c r="O33" s="14">
        <f>Order!L33</f>
        <v>0</v>
      </c>
      <c r="P33" s="14">
        <f>IF(OR(N33=0,Q33=0),0,INDEX(Distances!$E$15:$P$26,MATCH(N33,Distances!$C$15:$C$26,0),MATCH(Q33,Distances!$E$13:$P$13,0)))</f>
        <v>0</v>
      </c>
      <c r="Q33" s="14">
        <f>Order!M33</f>
        <v>0</v>
      </c>
      <c r="R33" s="14">
        <f>Order!N33</f>
        <v>0</v>
      </c>
      <c r="S33" s="14">
        <f>Order!O33</f>
        <v>0</v>
      </c>
      <c r="T33" s="14">
        <f>Order!P33</f>
        <v>0</v>
      </c>
      <c r="U33" s="14">
        <f>Order!Q33</f>
        <v>0</v>
      </c>
      <c r="W33" s="14">
        <v>0</v>
      </c>
      <c r="X33" s="14">
        <f>Order!T33</f>
        <v>0</v>
      </c>
      <c r="Y33" s="14">
        <f>IF(OR(W33=0,Z33=0),0,INDEX(Distances!$E$15:$P$26,MATCH(W33,Distances!$C$15:$C$26,0),MATCH(Z33,Distances!$E$13:$P$13,0)))</f>
        <v>0</v>
      </c>
      <c r="Z33" s="14">
        <f>Order!U33</f>
        <v>0</v>
      </c>
      <c r="AA33" s="14">
        <f>Order!V33</f>
        <v>0</v>
      </c>
      <c r="AB33" s="14">
        <f>Order!W33</f>
        <v>0</v>
      </c>
      <c r="AC33" s="14">
        <f>Order!X33</f>
        <v>0</v>
      </c>
      <c r="AD33" s="14">
        <f>Order!Y33</f>
        <v>0</v>
      </c>
    </row>
    <row r="34" spans="5:30" ht="15.75" customHeight="1" x14ac:dyDescent="0.25">
      <c r="E34" s="14" t="s">
        <v>80</v>
      </c>
      <c r="F34" s="14" t="str">
        <f>Order!D34</f>
        <v>Lorry 2</v>
      </c>
      <c r="G34" s="14">
        <f>IF(OR(E34=0,H34=0),0,INDEX(Distances!$E$15:$P$26,MATCH(E34,Distances!$C$15:$C$26,0),MATCH(H34,Distances!$E$13:$P$13,0)))</f>
        <v>3106</v>
      </c>
      <c r="H34" s="14" t="str">
        <f>Order!E34</f>
        <v>Vesoul factory</v>
      </c>
      <c r="I34" s="14">
        <f>Order!F34</f>
        <v>0</v>
      </c>
      <c r="J34" s="14">
        <f>Order!G34</f>
        <v>50</v>
      </c>
      <c r="K34" s="14">
        <f>Order!H34</f>
        <v>0</v>
      </c>
      <c r="L34" s="14">
        <f>Order!I34</f>
        <v>0</v>
      </c>
      <c r="N34" s="14">
        <v>0</v>
      </c>
      <c r="O34" s="14">
        <f>Order!L34</f>
        <v>0</v>
      </c>
      <c r="P34" s="14">
        <f>IF(OR(N34=0,Q34=0),0,INDEX(Distances!$E$15:$P$26,MATCH(N34,Distances!$C$15:$C$26,0),MATCH(Q34,Distances!$E$13:$P$13,0)))</f>
        <v>0</v>
      </c>
      <c r="Q34" s="14">
        <f>Order!M34</f>
        <v>0</v>
      </c>
      <c r="R34" s="14">
        <f>Order!N34</f>
        <v>0</v>
      </c>
      <c r="S34" s="14">
        <f>Order!O34</f>
        <v>0</v>
      </c>
      <c r="T34" s="14">
        <f>Order!P34</f>
        <v>0</v>
      </c>
      <c r="U34" s="14">
        <f>Order!Q34</f>
        <v>0</v>
      </c>
      <c r="W34" s="14">
        <v>0</v>
      </c>
      <c r="X34" s="14">
        <f>Order!T34</f>
        <v>0</v>
      </c>
      <c r="Y34" s="14">
        <f>IF(OR(W34=0,Z34=0),0,INDEX(Distances!$E$15:$P$26,MATCH(W34,Distances!$C$15:$C$26,0),MATCH(Z34,Distances!$E$13:$P$13,0)))</f>
        <v>0</v>
      </c>
      <c r="Z34" s="14">
        <f>Order!U34</f>
        <v>0</v>
      </c>
      <c r="AA34" s="14">
        <f>Order!V34</f>
        <v>0</v>
      </c>
      <c r="AB34" s="14">
        <f>Order!W34</f>
        <v>0</v>
      </c>
      <c r="AC34" s="14">
        <f>Order!X34</f>
        <v>0</v>
      </c>
      <c r="AD34" s="14">
        <f>Order!Y34</f>
        <v>0</v>
      </c>
    </row>
    <row r="35" spans="5:30" ht="15.75" customHeight="1" x14ac:dyDescent="0.25">
      <c r="E35" s="14" t="s">
        <v>14</v>
      </c>
      <c r="F35" s="14" t="str">
        <f>Order!D35</f>
        <v>Lorry 1</v>
      </c>
      <c r="G35" s="14">
        <f>IF(OR(E35=0,H35=0),0,INDEX(Distances!$E$15:$P$26,MATCH(E35,Distances!$C$15:$C$26,0),MATCH(H35,Distances!$E$13:$P$13,0)))</f>
        <v>509</v>
      </c>
      <c r="H35" s="14" t="str">
        <f>Order!E35</f>
        <v>Paris</v>
      </c>
      <c r="I35" s="14">
        <f>Order!F35</f>
        <v>0</v>
      </c>
      <c r="J35" s="14">
        <f>Order!G35</f>
        <v>0</v>
      </c>
      <c r="K35" s="14">
        <f>Order!H35</f>
        <v>21</v>
      </c>
      <c r="L35" s="14">
        <f>Order!I35</f>
        <v>0</v>
      </c>
      <c r="N35" s="14">
        <v>0</v>
      </c>
      <c r="O35" s="14">
        <f>Order!L35</f>
        <v>0</v>
      </c>
      <c r="P35" s="14">
        <f>IF(OR(N35=0,Q35=0),0,INDEX(Distances!$E$15:$P$26,MATCH(N35,Distances!$C$15:$C$26,0),MATCH(Q35,Distances!$E$13:$P$13,0)))</f>
        <v>0</v>
      </c>
      <c r="Q35" s="14">
        <f>Order!M35</f>
        <v>0</v>
      </c>
      <c r="R35" s="14">
        <f>Order!N35</f>
        <v>0</v>
      </c>
      <c r="S35" s="14">
        <f>Order!O35</f>
        <v>0</v>
      </c>
      <c r="T35" s="14">
        <f>Order!P35</f>
        <v>0</v>
      </c>
      <c r="U35" s="14">
        <f>Order!Q35</f>
        <v>0</v>
      </c>
      <c r="W35" s="14">
        <v>0</v>
      </c>
      <c r="X35" s="14">
        <f>Order!T35</f>
        <v>0</v>
      </c>
      <c r="Y35" s="14">
        <f>IF(OR(W35=0,Z35=0),0,INDEX(Distances!$E$15:$P$26,MATCH(W35,Distances!$C$15:$C$26,0),MATCH(Z35,Distances!$E$13:$P$13,0)))</f>
        <v>0</v>
      </c>
      <c r="Z35" s="14">
        <f>Order!U35</f>
        <v>0</v>
      </c>
      <c r="AA35" s="14">
        <f>Order!V35</f>
        <v>0</v>
      </c>
      <c r="AB35" s="14">
        <f>Order!W35</f>
        <v>0</v>
      </c>
      <c r="AC35" s="14">
        <f>Order!X35</f>
        <v>0</v>
      </c>
      <c r="AD35" s="14">
        <f>Order!Y35</f>
        <v>0</v>
      </c>
    </row>
    <row r="36" spans="5:30" ht="15.75" customHeight="1" x14ac:dyDescent="0.25">
      <c r="E36" s="14" t="s">
        <v>65</v>
      </c>
      <c r="F36" s="14" t="str">
        <f>Order!D36</f>
        <v>Lorry 1</v>
      </c>
      <c r="G36" s="14">
        <f>IF(OR(E36=0,H36=0),0,INDEX(Distances!$E$15:$P$26,MATCH(E36,Distances!$C$15:$C$26,0),MATCH(H36,Distances!$E$13:$P$13,0)))</f>
        <v>360</v>
      </c>
      <c r="H36" s="14" t="str">
        <f>Order!E36</f>
        <v>Vesoul factory</v>
      </c>
      <c r="I36" s="14">
        <f>Order!F36</f>
        <v>0</v>
      </c>
      <c r="J36" s="14">
        <f>Order!G36</f>
        <v>18</v>
      </c>
      <c r="K36" s="14">
        <f>Order!H36</f>
        <v>0</v>
      </c>
      <c r="L36" s="14">
        <f>Order!I36</f>
        <v>0</v>
      </c>
      <c r="N36" s="14">
        <v>0</v>
      </c>
      <c r="O36" s="14">
        <f>Order!L36</f>
        <v>0</v>
      </c>
      <c r="P36" s="14">
        <f>IF(OR(N36=0,Q36=0),0,INDEX(Distances!$E$15:$P$26,MATCH(N36,Distances!$C$15:$C$26,0),MATCH(Q36,Distances!$E$13:$P$13,0)))</f>
        <v>0</v>
      </c>
      <c r="Q36" s="14">
        <f>Order!M36</f>
        <v>0</v>
      </c>
      <c r="R36" s="14">
        <f>Order!N36</f>
        <v>0</v>
      </c>
      <c r="S36" s="14">
        <f>Order!O36</f>
        <v>0</v>
      </c>
      <c r="T36" s="14">
        <f>Order!P36</f>
        <v>0</v>
      </c>
      <c r="U36" s="14">
        <f>Order!Q36</f>
        <v>0</v>
      </c>
      <c r="W36" s="14">
        <v>0</v>
      </c>
      <c r="X36" s="14">
        <f>Order!T36</f>
        <v>0</v>
      </c>
      <c r="Y36" s="14">
        <f>IF(OR(W36=0,Z36=0),0,INDEX(Distances!$E$15:$P$26,MATCH(W36,Distances!$C$15:$C$26,0),MATCH(Z36,Distances!$E$13:$P$13,0)))</f>
        <v>0</v>
      </c>
      <c r="Z36" s="14">
        <f>Order!U36</f>
        <v>0</v>
      </c>
      <c r="AA36" s="14">
        <f>Order!V36</f>
        <v>0</v>
      </c>
      <c r="AB36" s="14">
        <f>Order!W36</f>
        <v>0</v>
      </c>
      <c r="AC36" s="14">
        <f>Order!X36</f>
        <v>0</v>
      </c>
      <c r="AD36" s="14">
        <f>Order!Y36</f>
        <v>0</v>
      </c>
    </row>
    <row r="37" spans="5:30" ht="15.75" customHeight="1" x14ac:dyDescent="0.25">
      <c r="E37" s="14" t="s">
        <v>39</v>
      </c>
      <c r="F37" s="14" t="str">
        <f>Order!D37</f>
        <v>Lorry 1</v>
      </c>
      <c r="G37" s="14">
        <f>IF(OR(E37=0,H37=0),0,INDEX(Distances!$E$15:$P$26,MATCH(E37,Distances!$C$15:$C$26,0),MATCH(H37,Distances!$E$13:$P$13,0)))</f>
        <v>1081</v>
      </c>
      <c r="H37" s="14" t="str">
        <f>Order!E37</f>
        <v>Rome</v>
      </c>
      <c r="I37" s="14">
        <f>Order!F37</f>
        <v>0</v>
      </c>
      <c r="J37" s="14">
        <f>Order!G37</f>
        <v>0</v>
      </c>
      <c r="K37" s="14">
        <f>Order!H37</f>
        <v>31</v>
      </c>
      <c r="L37" s="14">
        <f>Order!I37</f>
        <v>17</v>
      </c>
      <c r="N37" s="14">
        <v>0</v>
      </c>
      <c r="O37" s="14">
        <f>Order!L37</f>
        <v>0</v>
      </c>
      <c r="P37" s="14">
        <f>IF(OR(N37=0,Q37=0),0,INDEX(Distances!$E$15:$P$26,MATCH(N37,Distances!$C$15:$C$26,0),MATCH(Q37,Distances!$E$13:$P$13,0)))</f>
        <v>0</v>
      </c>
      <c r="Q37" s="14">
        <f>Order!M37</f>
        <v>0</v>
      </c>
      <c r="R37" s="14">
        <f>Order!N37</f>
        <v>0</v>
      </c>
      <c r="S37" s="14">
        <f>Order!O37</f>
        <v>0</v>
      </c>
      <c r="T37" s="14">
        <f>Order!P37</f>
        <v>0</v>
      </c>
      <c r="U37" s="14">
        <f>Order!Q37</f>
        <v>0</v>
      </c>
      <c r="W37" s="14">
        <v>0</v>
      </c>
      <c r="X37" s="14">
        <f>Order!T37</f>
        <v>0</v>
      </c>
      <c r="Y37" s="14">
        <f>IF(OR(W37=0,Z37=0),0,INDEX(Distances!$E$15:$P$26,MATCH(W37,Distances!$C$15:$C$26,0),MATCH(Z37,Distances!$E$13:$P$13,0)))</f>
        <v>0</v>
      </c>
      <c r="Z37" s="14">
        <f>Order!U37</f>
        <v>0</v>
      </c>
      <c r="AA37" s="14">
        <f>Order!V37</f>
        <v>0</v>
      </c>
      <c r="AB37" s="14">
        <f>Order!W37</f>
        <v>0</v>
      </c>
      <c r="AC37" s="14">
        <f>Order!X37</f>
        <v>0</v>
      </c>
      <c r="AD37" s="14">
        <f>Order!Y37</f>
        <v>0</v>
      </c>
    </row>
    <row r="38" spans="5:30" ht="15.75" customHeight="1" x14ac:dyDescent="0.25">
      <c r="E38" s="14" t="s">
        <v>77</v>
      </c>
      <c r="F38" s="14" t="str">
        <f>Order!D38</f>
        <v>Lorry 1</v>
      </c>
      <c r="G38" s="14">
        <f>IF(OR(E38=0,H38=0),0,INDEX(Distances!$E$15:$P$26,MATCH(E38,Distances!$C$15:$C$26,0),MATCH(H38,Distances!$E$13:$P$13,0)))</f>
        <v>584</v>
      </c>
      <c r="H38" s="14" t="str">
        <f>Order!E38</f>
        <v>Milan</v>
      </c>
      <c r="I38" s="14">
        <f>Order!F38</f>
        <v>0</v>
      </c>
      <c r="J38" s="14">
        <f>Order!G38</f>
        <v>0</v>
      </c>
      <c r="K38" s="14">
        <f>Order!H38</f>
        <v>14</v>
      </c>
      <c r="L38" s="14">
        <f>Order!I38</f>
        <v>1</v>
      </c>
      <c r="N38" s="14">
        <v>0</v>
      </c>
      <c r="O38" s="14">
        <f>Order!L38</f>
        <v>0</v>
      </c>
      <c r="P38" s="14">
        <f>IF(OR(N38=0,Q38=0),0,INDEX(Distances!$E$15:$P$26,MATCH(N38,Distances!$C$15:$C$26,0),MATCH(Q38,Distances!$E$13:$P$13,0)))</f>
        <v>0</v>
      </c>
      <c r="Q38" s="14">
        <f>Order!M38</f>
        <v>0</v>
      </c>
      <c r="R38" s="14">
        <f>Order!N38</f>
        <v>0</v>
      </c>
      <c r="S38" s="14">
        <f>Order!O38</f>
        <v>0</v>
      </c>
      <c r="T38" s="14">
        <f>Order!P38</f>
        <v>0</v>
      </c>
      <c r="U38" s="14">
        <f>Order!Q38</f>
        <v>0</v>
      </c>
      <c r="W38" s="14">
        <v>0</v>
      </c>
      <c r="X38" s="14">
        <f>Order!T38</f>
        <v>0</v>
      </c>
      <c r="Y38" s="14">
        <f>IF(OR(W38=0,Z38=0),0,INDEX(Distances!$E$15:$P$26,MATCH(W38,Distances!$C$15:$C$26,0),MATCH(Z38,Distances!$E$13:$P$13,0)))</f>
        <v>0</v>
      </c>
      <c r="Z38" s="14">
        <f>Order!U38</f>
        <v>0</v>
      </c>
      <c r="AA38" s="14">
        <f>Order!V38</f>
        <v>0</v>
      </c>
      <c r="AB38" s="14">
        <f>Order!W38</f>
        <v>0</v>
      </c>
      <c r="AC38" s="14">
        <f>Order!X38</f>
        <v>0</v>
      </c>
      <c r="AD38" s="14">
        <f>Order!Y38</f>
        <v>0</v>
      </c>
    </row>
    <row r="39" spans="5:30" ht="15.75" customHeight="1" x14ac:dyDescent="0.25">
      <c r="E39" s="14" t="s">
        <v>76</v>
      </c>
      <c r="F39" s="14" t="str">
        <f>Order!D39</f>
        <v>Lorry 1</v>
      </c>
      <c r="G39" s="14">
        <f>IF(OR(E39=0,H39=0),0,INDEX(Distances!$E$15:$P$26,MATCH(E39,Distances!$C$15:$C$26,0),MATCH(H39,Distances!$E$13:$P$13,0)))</f>
        <v>979</v>
      </c>
      <c r="H39" s="14" t="str">
        <f>Order!E39</f>
        <v>Arnhem factory</v>
      </c>
      <c r="I39" s="14">
        <f>Order!F39</f>
        <v>66</v>
      </c>
      <c r="J39" s="14">
        <f>Order!G39</f>
        <v>0</v>
      </c>
      <c r="K39" s="14">
        <f>Order!H39</f>
        <v>0</v>
      </c>
      <c r="L39" s="14">
        <f>Order!I39</f>
        <v>0</v>
      </c>
      <c r="N39" s="14">
        <v>0</v>
      </c>
      <c r="O39" s="14">
        <f>Order!L39</f>
        <v>0</v>
      </c>
      <c r="P39" s="14">
        <f>IF(OR(N39=0,Q39=0),0,INDEX(Distances!$E$15:$P$26,MATCH(N39,Distances!$C$15:$C$26,0),MATCH(Q39,Distances!$E$13:$P$13,0)))</f>
        <v>0</v>
      </c>
      <c r="Q39" s="14">
        <f>Order!M39</f>
        <v>0</v>
      </c>
      <c r="R39" s="14">
        <f>Order!N39</f>
        <v>0</v>
      </c>
      <c r="S39" s="14">
        <f>Order!O39</f>
        <v>0</v>
      </c>
      <c r="T39" s="14">
        <f>Order!P39</f>
        <v>0</v>
      </c>
      <c r="U39" s="14">
        <f>Order!Q39</f>
        <v>0</v>
      </c>
      <c r="W39" s="14">
        <v>0</v>
      </c>
      <c r="X39" s="14">
        <f>Order!T39</f>
        <v>0</v>
      </c>
      <c r="Y39" s="14">
        <f>IF(OR(W39=0,Z39=0),0,INDEX(Distances!$E$15:$P$26,MATCH(W39,Distances!$C$15:$C$26,0),MATCH(Z39,Distances!$E$13:$P$13,0)))</f>
        <v>0</v>
      </c>
      <c r="Z39" s="14">
        <f>Order!U39</f>
        <v>0</v>
      </c>
      <c r="AA39" s="14">
        <f>Order!V39</f>
        <v>0</v>
      </c>
      <c r="AB39" s="14">
        <f>Order!W39</f>
        <v>0</v>
      </c>
      <c r="AC39" s="14">
        <f>Order!X39</f>
        <v>0</v>
      </c>
      <c r="AD39" s="14">
        <f>Order!Y39</f>
        <v>0</v>
      </c>
    </row>
    <row r="40" spans="5:30" ht="15.75" customHeight="1" x14ac:dyDescent="0.25">
      <c r="E40" s="14" t="s">
        <v>14</v>
      </c>
      <c r="F40" s="14" t="str">
        <f>Order!D40</f>
        <v>Lorry 1</v>
      </c>
      <c r="G40" s="14">
        <f>IF(OR(E40=0,H40=0),0,INDEX(Distances!$E$15:$P$26,MATCH(E40,Distances!$C$15:$C$26,0),MATCH(H40,Distances!$E$13:$P$13,0)))</f>
        <v>1134</v>
      </c>
      <c r="H40" s="14" t="str">
        <f>Order!E40</f>
        <v>Warsaw</v>
      </c>
      <c r="I40" s="14">
        <f>Order!F40</f>
        <v>0</v>
      </c>
      <c r="J40" s="14">
        <f>Order!G40</f>
        <v>0</v>
      </c>
      <c r="K40" s="14">
        <f>Order!H40</f>
        <v>16</v>
      </c>
      <c r="L40" s="14">
        <f>Order!I40</f>
        <v>0</v>
      </c>
      <c r="N40" s="14">
        <v>0</v>
      </c>
      <c r="O40" s="14">
        <f>Order!L40</f>
        <v>0</v>
      </c>
      <c r="P40" s="14">
        <f>IF(OR(N40=0,Q40=0),0,INDEX(Distances!$E$15:$P$26,MATCH(N40,Distances!$C$15:$C$26,0),MATCH(Q40,Distances!$E$13:$P$13,0)))</f>
        <v>0</v>
      </c>
      <c r="Q40" s="14">
        <f>Order!M40</f>
        <v>0</v>
      </c>
      <c r="R40" s="14">
        <f>Order!N40</f>
        <v>0</v>
      </c>
      <c r="S40" s="14">
        <f>Order!O40</f>
        <v>0</v>
      </c>
      <c r="T40" s="14">
        <f>Order!P40</f>
        <v>0</v>
      </c>
      <c r="U40" s="14">
        <f>Order!Q40</f>
        <v>0</v>
      </c>
      <c r="W40" s="14">
        <v>0</v>
      </c>
      <c r="X40" s="14">
        <f>Order!T40</f>
        <v>0</v>
      </c>
      <c r="Y40" s="14">
        <f>IF(OR(W40=0,Z40=0),0,INDEX(Distances!$E$15:$P$26,MATCH(W40,Distances!$C$15:$C$26,0),MATCH(Z40,Distances!$E$13:$P$13,0)))</f>
        <v>0</v>
      </c>
      <c r="Z40" s="14">
        <f>Order!U40</f>
        <v>0</v>
      </c>
      <c r="AA40" s="14">
        <f>Order!V40</f>
        <v>0</v>
      </c>
      <c r="AB40" s="14">
        <f>Order!W40</f>
        <v>0</v>
      </c>
      <c r="AC40" s="14">
        <f>Order!X40</f>
        <v>0</v>
      </c>
      <c r="AD40" s="14">
        <f>Order!Y40</f>
        <v>0</v>
      </c>
    </row>
    <row r="41" spans="5:30" ht="15.75" customHeight="1" x14ac:dyDescent="0.25">
      <c r="E41" s="14" t="s">
        <v>81</v>
      </c>
      <c r="F41" s="14" t="str">
        <f>Order!D41</f>
        <v>Lorry 1</v>
      </c>
      <c r="G41" s="14">
        <f>IF(OR(E41=0,H41=0),0,INDEX(Distances!$E$15:$P$26,MATCH(E41,Distances!$C$15:$C$26,0),MATCH(H41,Distances!$E$13:$P$13,0)))</f>
        <v>1189</v>
      </c>
      <c r="H41" s="14" t="str">
        <f>Order!E41</f>
        <v>Bucharest</v>
      </c>
      <c r="I41" s="14">
        <f>Order!F41</f>
        <v>0</v>
      </c>
      <c r="J41" s="14">
        <f>Order!G41</f>
        <v>0</v>
      </c>
      <c r="K41" s="14">
        <f>Order!H41</f>
        <v>50</v>
      </c>
      <c r="L41" s="14">
        <f>Order!I41</f>
        <v>0</v>
      </c>
      <c r="N41" s="14">
        <v>0</v>
      </c>
      <c r="O41" s="14">
        <f>Order!L41</f>
        <v>0</v>
      </c>
      <c r="P41" s="14">
        <f>IF(OR(N41=0,Q41=0),0,INDEX(Distances!$E$15:$P$26,MATCH(N41,Distances!$C$15:$C$26,0),MATCH(Q41,Distances!$E$13:$P$13,0)))</f>
        <v>0</v>
      </c>
      <c r="Q41" s="14">
        <f>Order!M41</f>
        <v>0</v>
      </c>
      <c r="R41" s="14">
        <f>Order!N41</f>
        <v>0</v>
      </c>
      <c r="S41" s="14">
        <f>Order!O41</f>
        <v>0</v>
      </c>
      <c r="T41" s="14">
        <f>Order!P41</f>
        <v>0</v>
      </c>
      <c r="U41" s="14">
        <f>Order!Q41</f>
        <v>0</v>
      </c>
      <c r="W41" s="14">
        <v>0</v>
      </c>
      <c r="X41" s="14">
        <f>Order!T41</f>
        <v>0</v>
      </c>
      <c r="Y41" s="14">
        <f>IF(OR(W41=0,Z41=0),0,INDEX(Distances!$E$15:$P$26,MATCH(W41,Distances!$C$15:$C$26,0),MATCH(Z41,Distances!$E$13:$P$13,0)))</f>
        <v>0</v>
      </c>
      <c r="Z41" s="14">
        <f>Order!U41</f>
        <v>0</v>
      </c>
      <c r="AA41" s="14">
        <f>Order!V41</f>
        <v>0</v>
      </c>
      <c r="AB41" s="14">
        <f>Order!W41</f>
        <v>0</v>
      </c>
      <c r="AC41" s="14">
        <f>Order!X41</f>
        <v>0</v>
      </c>
      <c r="AD41" s="14">
        <f>Order!Y41</f>
        <v>0</v>
      </c>
    </row>
    <row r="42" spans="5:30" ht="15.75" customHeight="1" x14ac:dyDescent="0.25">
      <c r="E42" s="14" t="s">
        <v>78</v>
      </c>
      <c r="F42" s="14" t="str">
        <f>Order!D42</f>
        <v>Lorry 1</v>
      </c>
      <c r="G42" s="14">
        <f>IF(OR(E42=0,H42=0),0,INDEX(Distances!$E$15:$P$26,MATCH(E42,Distances!$C$15:$C$26,0),MATCH(H42,Distances!$E$13:$P$13,0)))</f>
        <v>2197</v>
      </c>
      <c r="H42" s="14" t="str">
        <f>Order!E42</f>
        <v>Arnhem factory</v>
      </c>
      <c r="I42" s="14">
        <f>Order!F42</f>
        <v>0</v>
      </c>
      <c r="J42" s="14">
        <f>Order!G42</f>
        <v>0</v>
      </c>
      <c r="K42" s="14">
        <f>Order!H42</f>
        <v>0</v>
      </c>
      <c r="L42" s="14">
        <f>Order!I42</f>
        <v>0</v>
      </c>
      <c r="N42" s="14">
        <v>0</v>
      </c>
      <c r="O42" s="14">
        <f>Order!L42</f>
        <v>0</v>
      </c>
      <c r="P42" s="14">
        <f>IF(OR(N42=0,Q42=0),0,INDEX(Distances!$E$15:$P$26,MATCH(N42,Distances!$C$15:$C$26,0),MATCH(Q42,Distances!$E$13:$P$13,0)))</f>
        <v>0</v>
      </c>
      <c r="Q42" s="14">
        <f>Order!M42</f>
        <v>0</v>
      </c>
      <c r="R42" s="14">
        <f>Order!N42</f>
        <v>0</v>
      </c>
      <c r="S42" s="14">
        <f>Order!O42</f>
        <v>0</v>
      </c>
      <c r="T42" s="14">
        <f>Order!P42</f>
        <v>0</v>
      </c>
      <c r="U42" s="14">
        <f>Order!Q42</f>
        <v>0</v>
      </c>
      <c r="W42" s="14">
        <v>0</v>
      </c>
      <c r="X42" s="14">
        <f>Order!T42</f>
        <v>0</v>
      </c>
      <c r="Y42" s="14">
        <f>IF(OR(W42=0,Z42=0),0,INDEX(Distances!$E$15:$P$26,MATCH(W42,Distances!$C$15:$C$26,0),MATCH(Z42,Distances!$E$13:$P$13,0)))</f>
        <v>0</v>
      </c>
      <c r="Z42" s="14">
        <f>Order!U42</f>
        <v>0</v>
      </c>
      <c r="AA42" s="14">
        <f>Order!V42</f>
        <v>0</v>
      </c>
      <c r="AB42" s="14">
        <f>Order!W42</f>
        <v>0</v>
      </c>
      <c r="AC42" s="14">
        <f>Order!X42</f>
        <v>0</v>
      </c>
      <c r="AD42" s="14">
        <f>Order!Y42</f>
        <v>0</v>
      </c>
    </row>
    <row r="43" spans="5:30" ht="15.75" customHeight="1" x14ac:dyDescent="0.25">
      <c r="E43" s="14" t="s">
        <v>39</v>
      </c>
      <c r="F43" s="14" t="str">
        <f>Order!D43</f>
        <v>Lorry 2</v>
      </c>
      <c r="G43" s="14">
        <f>IF(OR(E43=0,H43=0),0,INDEX(Distances!$E$15:$P$26,MATCH(E43,Distances!$C$15:$C$26,0),MATCH(H43,Distances!$E$13:$P$13,0)))</f>
        <v>484</v>
      </c>
      <c r="H43" s="14" t="str">
        <f>Order!E43</f>
        <v>Milan</v>
      </c>
      <c r="I43" s="14">
        <f>Order!F43</f>
        <v>0</v>
      </c>
      <c r="J43" s="14">
        <f>Order!G43</f>
        <v>0</v>
      </c>
      <c r="K43" s="14">
        <f>Order!H43</f>
        <v>0</v>
      </c>
      <c r="L43" s="14">
        <f>Order!I43</f>
        <v>12</v>
      </c>
      <c r="N43" s="14">
        <v>0</v>
      </c>
      <c r="O43" s="14">
        <f>Order!L43</f>
        <v>0</v>
      </c>
      <c r="P43" s="14">
        <f>IF(OR(N43=0,Q43=0),0,INDEX(Distances!$E$15:$P$26,MATCH(N43,Distances!$C$15:$C$26,0),MATCH(Q43,Distances!$E$13:$P$13,0)))</f>
        <v>0</v>
      </c>
      <c r="Q43" s="14">
        <f>Order!M43</f>
        <v>0</v>
      </c>
      <c r="R43" s="14">
        <f>Order!N43</f>
        <v>0</v>
      </c>
      <c r="S43" s="14">
        <f>Order!O43</f>
        <v>0</v>
      </c>
      <c r="T43" s="14">
        <f>Order!P43</f>
        <v>0</v>
      </c>
      <c r="U43" s="14">
        <f>Order!Q43</f>
        <v>0</v>
      </c>
      <c r="W43" s="14">
        <v>0</v>
      </c>
      <c r="X43" s="14">
        <f>Order!T43</f>
        <v>0</v>
      </c>
      <c r="Y43" s="14">
        <f>IF(OR(W43=0,Z43=0),0,INDEX(Distances!$E$15:$P$26,MATCH(W43,Distances!$C$15:$C$26,0),MATCH(Z43,Distances!$E$13:$P$13,0)))</f>
        <v>0</v>
      </c>
      <c r="Z43" s="14">
        <f>Order!U43</f>
        <v>0</v>
      </c>
      <c r="AA43" s="14">
        <f>Order!V43</f>
        <v>0</v>
      </c>
      <c r="AB43" s="14">
        <f>Order!W43</f>
        <v>0</v>
      </c>
      <c r="AC43" s="14">
        <f>Order!X43</f>
        <v>0</v>
      </c>
      <c r="AD43" s="14">
        <f>Order!Y43</f>
        <v>0</v>
      </c>
    </row>
    <row r="44" spans="5:30" ht="15.75" customHeight="1" x14ac:dyDescent="0.25">
      <c r="E44" s="14" t="s">
        <v>76</v>
      </c>
      <c r="F44" s="14" t="str">
        <f>Order!D44</f>
        <v>Lorry 2</v>
      </c>
      <c r="G44" s="14">
        <f>IF(OR(E44=0,H44=0),0,INDEX(Distances!$E$15:$P$26,MATCH(E44,Distances!$C$15:$C$26,0),MATCH(H44,Distances!$E$13:$P$13,0)))</f>
        <v>584</v>
      </c>
      <c r="H44" s="14" t="str">
        <f>Order!E44</f>
        <v>Rome</v>
      </c>
      <c r="I44" s="14">
        <f>Order!F44</f>
        <v>0</v>
      </c>
      <c r="J44" s="14">
        <f>Order!G44</f>
        <v>0</v>
      </c>
      <c r="K44" s="14">
        <f>Order!H44</f>
        <v>0</v>
      </c>
      <c r="L44" s="14">
        <f>Order!I44</f>
        <v>38</v>
      </c>
      <c r="N44" s="14">
        <v>0</v>
      </c>
      <c r="O44" s="14">
        <f>Order!L44</f>
        <v>0</v>
      </c>
      <c r="P44" s="14">
        <f>IF(OR(N44=0,Q44=0),0,INDEX(Distances!$E$15:$P$26,MATCH(N44,Distances!$C$15:$C$26,0),MATCH(Q44,Distances!$E$13:$P$13,0)))</f>
        <v>0</v>
      </c>
      <c r="Q44" s="14">
        <f>Order!M44</f>
        <v>0</v>
      </c>
      <c r="R44" s="14">
        <f>Order!N44</f>
        <v>0</v>
      </c>
      <c r="S44" s="14">
        <f>Order!O44</f>
        <v>0</v>
      </c>
      <c r="T44" s="14">
        <f>Order!P44</f>
        <v>0</v>
      </c>
      <c r="U44" s="14">
        <f>Order!Q44</f>
        <v>0</v>
      </c>
      <c r="W44" s="14">
        <v>0</v>
      </c>
      <c r="X44" s="14">
        <f>Order!T44</f>
        <v>0</v>
      </c>
      <c r="Y44" s="14">
        <f>IF(OR(W44=0,Z44=0),0,INDEX(Distances!$E$15:$P$26,MATCH(W44,Distances!$C$15:$C$26,0),MATCH(Z44,Distances!$E$13:$P$13,0)))</f>
        <v>0</v>
      </c>
      <c r="Z44" s="14">
        <f>Order!U44</f>
        <v>0</v>
      </c>
      <c r="AA44" s="14">
        <f>Order!V44</f>
        <v>0</v>
      </c>
      <c r="AB44" s="14">
        <f>Order!W44</f>
        <v>0</v>
      </c>
      <c r="AC44" s="14">
        <f>Order!X44</f>
        <v>0</v>
      </c>
      <c r="AD44" s="14">
        <f>Order!Y44</f>
        <v>0</v>
      </c>
    </row>
    <row r="45" spans="5:30" ht="15.75" customHeight="1" x14ac:dyDescent="0.25">
      <c r="E45" s="14" t="s">
        <v>77</v>
      </c>
      <c r="F45" s="14" t="str">
        <f>Order!D45</f>
        <v>Lorry 2</v>
      </c>
      <c r="G45" s="14">
        <f>IF(OR(E45=0,H45=0),0,INDEX(Distances!$E$15:$P$26,MATCH(E45,Distances!$C$15:$C$26,0),MATCH(H45,Distances!$E$13:$P$13,0)))</f>
        <v>1081</v>
      </c>
      <c r="H45" s="14" t="str">
        <f>Order!E45</f>
        <v>Vesoul factory</v>
      </c>
      <c r="I45" s="14">
        <f>Order!F45</f>
        <v>0</v>
      </c>
      <c r="J45" s="14">
        <f>Order!G45</f>
        <v>50</v>
      </c>
      <c r="K45" s="14">
        <f>Order!H45</f>
        <v>0</v>
      </c>
      <c r="L45" s="14">
        <f>Order!I45</f>
        <v>0</v>
      </c>
      <c r="N45" s="14">
        <v>0</v>
      </c>
      <c r="O45" s="14">
        <f>Order!L45</f>
        <v>0</v>
      </c>
      <c r="P45" s="14">
        <f>IF(OR(N45=0,Q45=0),0,INDEX(Distances!$E$15:$P$26,MATCH(N45,Distances!$C$15:$C$26,0),MATCH(Q45,Distances!$E$13:$P$13,0)))</f>
        <v>0</v>
      </c>
      <c r="Q45" s="14">
        <f>Order!M45</f>
        <v>0</v>
      </c>
      <c r="R45" s="14">
        <f>Order!N45</f>
        <v>0</v>
      </c>
      <c r="S45" s="14">
        <f>Order!O45</f>
        <v>0</v>
      </c>
      <c r="T45" s="14">
        <f>Order!P45</f>
        <v>0</v>
      </c>
      <c r="U45" s="14">
        <f>Order!Q45</f>
        <v>0</v>
      </c>
      <c r="W45" s="14">
        <v>0</v>
      </c>
      <c r="X45" s="14">
        <f>Order!T45</f>
        <v>0</v>
      </c>
      <c r="Y45" s="14">
        <f>IF(OR(W45=0,Z45=0),0,INDEX(Distances!$E$15:$P$26,MATCH(W45,Distances!$C$15:$C$26,0),MATCH(Z45,Distances!$E$13:$P$13,0)))</f>
        <v>0</v>
      </c>
      <c r="Z45" s="14">
        <f>Order!U45</f>
        <v>0</v>
      </c>
      <c r="AA45" s="14">
        <f>Order!V45</f>
        <v>0</v>
      </c>
      <c r="AB45" s="14">
        <f>Order!W45</f>
        <v>0</v>
      </c>
      <c r="AC45" s="14">
        <f>Order!X45</f>
        <v>0</v>
      </c>
      <c r="AD45" s="14">
        <f>Order!Y45</f>
        <v>0</v>
      </c>
    </row>
    <row r="46" spans="5:30" ht="15.75" customHeight="1" x14ac:dyDescent="0.25">
      <c r="E46" s="14" t="s">
        <v>39</v>
      </c>
      <c r="F46" s="14" t="str">
        <f>Order!D46</f>
        <v>Lorry 2</v>
      </c>
      <c r="G46" s="14">
        <f>IF(OR(E46=0,H46=0),0,INDEX(Distances!$E$15:$P$26,MATCH(E46,Distances!$C$15:$C$26,0),MATCH(H46,Distances!$E$13:$P$13,0)))</f>
        <v>1224</v>
      </c>
      <c r="H46" s="14" t="str">
        <f>Order!E46</f>
        <v>Budapest</v>
      </c>
      <c r="I46" s="14">
        <f>Order!F46</f>
        <v>0</v>
      </c>
      <c r="J46" s="14">
        <f>Order!G46</f>
        <v>0</v>
      </c>
      <c r="K46" s="14">
        <f>Order!H46</f>
        <v>0</v>
      </c>
      <c r="L46" s="14">
        <f>Order!I46</f>
        <v>21</v>
      </c>
      <c r="N46" s="14">
        <v>0</v>
      </c>
      <c r="O46" s="14">
        <f>Order!L46</f>
        <v>0</v>
      </c>
      <c r="P46" s="14">
        <f>IF(OR(N46=0,Q46=0),0,INDEX(Distances!$E$15:$P$26,MATCH(N46,Distances!$C$15:$C$26,0),MATCH(Q46,Distances!$E$13:$P$13,0)))</f>
        <v>0</v>
      </c>
      <c r="Q46" s="14">
        <f>Order!M46</f>
        <v>0</v>
      </c>
      <c r="R46" s="14">
        <f>Order!N46</f>
        <v>0</v>
      </c>
      <c r="S46" s="14">
        <f>Order!O46</f>
        <v>0</v>
      </c>
      <c r="T46" s="14">
        <f>Order!P46</f>
        <v>0</v>
      </c>
      <c r="U46" s="14">
        <f>Order!Q46</f>
        <v>0</v>
      </c>
      <c r="W46" s="14">
        <v>0</v>
      </c>
      <c r="X46" s="14">
        <f>Order!T46</f>
        <v>0</v>
      </c>
      <c r="Y46" s="14">
        <f>IF(OR(W46=0,Z46=0),0,INDEX(Distances!$E$15:$P$26,MATCH(W46,Distances!$C$15:$C$26,0),MATCH(Z46,Distances!$E$13:$P$13,0)))</f>
        <v>0</v>
      </c>
      <c r="Z46" s="14">
        <f>Order!U46</f>
        <v>0</v>
      </c>
      <c r="AA46" s="14">
        <f>Order!V46</f>
        <v>0</v>
      </c>
      <c r="AB46" s="14">
        <f>Order!W46</f>
        <v>0</v>
      </c>
      <c r="AC46" s="14">
        <f>Order!X46</f>
        <v>0</v>
      </c>
      <c r="AD46" s="14">
        <f>Order!Y46</f>
        <v>0</v>
      </c>
    </row>
    <row r="47" spans="5:30" ht="15.75" customHeight="1" x14ac:dyDescent="0.25">
      <c r="E47" s="14" t="s">
        <v>79</v>
      </c>
      <c r="F47" s="14" t="str">
        <f>Order!D47</f>
        <v>Lorry 2</v>
      </c>
      <c r="G47" s="14">
        <f>IF(OR(E47=0,H47=0),0,INDEX(Distances!$E$15:$P$26,MATCH(E47,Distances!$C$15:$C$26,0),MATCH(H47,Distances!$E$13:$P$13,0)))</f>
        <v>796</v>
      </c>
      <c r="H47" s="14" t="str">
        <f>Order!E47</f>
        <v>Bucharest</v>
      </c>
      <c r="I47" s="14">
        <f>Order!F47</f>
        <v>0</v>
      </c>
      <c r="J47" s="14">
        <f>Order!G47</f>
        <v>0</v>
      </c>
      <c r="K47" s="14">
        <f>Order!H47</f>
        <v>0</v>
      </c>
      <c r="L47" s="14">
        <f>Order!I47</f>
        <v>29</v>
      </c>
      <c r="N47" s="14">
        <v>0</v>
      </c>
      <c r="O47" s="14">
        <f>Order!L47</f>
        <v>0</v>
      </c>
      <c r="P47" s="14">
        <f>IF(OR(N47=0,Q47=0),0,INDEX(Distances!$E$15:$P$26,MATCH(N47,Distances!$C$15:$C$26,0),MATCH(Q47,Distances!$E$13:$P$13,0)))</f>
        <v>0</v>
      </c>
      <c r="Q47" s="14">
        <f>Order!M47</f>
        <v>0</v>
      </c>
      <c r="R47" s="14">
        <f>Order!N47</f>
        <v>0</v>
      </c>
      <c r="S47" s="14">
        <f>Order!O47</f>
        <v>0</v>
      </c>
      <c r="T47" s="14">
        <f>Order!P47</f>
        <v>0</v>
      </c>
      <c r="U47" s="14">
        <f>Order!Q47</f>
        <v>0</v>
      </c>
      <c r="W47" s="14">
        <v>0</v>
      </c>
      <c r="X47" s="14">
        <f>Order!T47</f>
        <v>0</v>
      </c>
      <c r="Y47" s="14">
        <f>IF(OR(W47=0,Z47=0),0,INDEX(Distances!$E$15:$P$26,MATCH(W47,Distances!$C$15:$C$26,0),MATCH(Z47,Distances!$E$13:$P$13,0)))</f>
        <v>0</v>
      </c>
      <c r="Z47" s="14">
        <f>Order!U47</f>
        <v>0</v>
      </c>
      <c r="AA47" s="14">
        <f>Order!V47</f>
        <v>0</v>
      </c>
      <c r="AB47" s="14">
        <f>Order!W47</f>
        <v>0</v>
      </c>
      <c r="AC47" s="14">
        <f>Order!X47</f>
        <v>0</v>
      </c>
      <c r="AD47" s="14">
        <f>Order!Y47</f>
        <v>0</v>
      </c>
    </row>
    <row r="48" spans="5:30" ht="15.75" customHeight="1" x14ac:dyDescent="0.25">
      <c r="E48" s="14" t="s">
        <v>78</v>
      </c>
      <c r="F48" s="14" t="str">
        <f>Order!D48</f>
        <v>Lorry 2</v>
      </c>
      <c r="G48" s="14">
        <f>IF(OR(E48=0,H48=0),0,INDEX(Distances!$E$15:$P$26,MATCH(E48,Distances!$C$15:$C$26,0),MATCH(H48,Distances!$E$13:$P$13,0)))</f>
        <v>2120</v>
      </c>
      <c r="H48" s="14" t="str">
        <f>Order!E48</f>
        <v>Vesoul factory</v>
      </c>
      <c r="I48" s="14">
        <f>Order!F48</f>
        <v>0</v>
      </c>
      <c r="J48" s="14">
        <f>Order!G48</f>
        <v>0</v>
      </c>
      <c r="K48" s="14">
        <f>Order!H48</f>
        <v>0</v>
      </c>
      <c r="L48" s="14">
        <f>Order!I48</f>
        <v>0</v>
      </c>
      <c r="N48" s="14">
        <v>0</v>
      </c>
      <c r="O48" s="14">
        <f>Order!L48</f>
        <v>0</v>
      </c>
      <c r="P48" s="14">
        <f>IF(OR(N48=0,Q48=0),0,INDEX(Distances!$E$15:$P$26,MATCH(N48,Distances!$C$15:$C$26,0),MATCH(Q48,Distances!$E$13:$P$13,0)))</f>
        <v>0</v>
      </c>
      <c r="Q48" s="14">
        <f>Order!M48</f>
        <v>0</v>
      </c>
      <c r="R48" s="14">
        <f>Order!N48</f>
        <v>0</v>
      </c>
      <c r="S48" s="14">
        <f>Order!O48</f>
        <v>0</v>
      </c>
      <c r="T48" s="14">
        <f>Order!P48</f>
        <v>0</v>
      </c>
      <c r="U48" s="14">
        <f>Order!Q48</f>
        <v>0</v>
      </c>
      <c r="W48" s="14">
        <v>0</v>
      </c>
      <c r="X48" s="14">
        <f>Order!T48</f>
        <v>0</v>
      </c>
      <c r="Y48" s="14">
        <f>IF(OR(W48=0,Z48=0),0,INDEX(Distances!$E$15:$P$26,MATCH(W48,Distances!$C$15:$C$26,0),MATCH(Z48,Distances!$E$13:$P$13,0)))</f>
        <v>0</v>
      </c>
      <c r="Z48" s="14">
        <f>Order!U48</f>
        <v>0</v>
      </c>
      <c r="AA48" s="14">
        <f>Order!V48</f>
        <v>0</v>
      </c>
      <c r="AB48" s="14">
        <f>Order!W48</f>
        <v>0</v>
      </c>
      <c r="AC48" s="14">
        <f>Order!X48</f>
        <v>0</v>
      </c>
      <c r="AD48" s="14">
        <f>Order!Y48</f>
        <v>0</v>
      </c>
    </row>
    <row r="49" spans="5:30" ht="15.75" customHeight="1" x14ac:dyDescent="0.25">
      <c r="E49" s="14" t="s">
        <v>65</v>
      </c>
      <c r="F49" s="14" t="str">
        <f>Order!D49</f>
        <v>Lorry 3</v>
      </c>
      <c r="G49" s="14">
        <f>IF(OR(E49=0,H49=0),0,INDEX(Distances!$E$15:$P$26,MATCH(E49,Distances!$C$15:$C$26,0),MATCH(H49,Distances!$E$13:$P$13,0)))</f>
        <v>509</v>
      </c>
      <c r="H49" s="14" t="str">
        <f>Order!E49</f>
        <v>Arnhem factory</v>
      </c>
      <c r="I49" s="14">
        <f>Order!F49</f>
        <v>24</v>
      </c>
      <c r="J49" s="14">
        <f>Order!G49</f>
        <v>0</v>
      </c>
      <c r="K49" s="14">
        <f>Order!H49</f>
        <v>0</v>
      </c>
      <c r="L49" s="14">
        <f>Order!I49</f>
        <v>0</v>
      </c>
      <c r="N49" s="14">
        <v>0</v>
      </c>
      <c r="O49" s="14">
        <f>Order!L49</f>
        <v>0</v>
      </c>
      <c r="P49" s="14">
        <f>IF(OR(N49=0,Q49=0),0,INDEX(Distances!$E$15:$P$26,MATCH(N49,Distances!$C$15:$C$26,0),MATCH(Q49,Distances!$E$13:$P$13,0)))</f>
        <v>0</v>
      </c>
      <c r="Q49" s="14">
        <f>Order!M49</f>
        <v>0</v>
      </c>
      <c r="R49" s="14">
        <f>Order!N49</f>
        <v>0</v>
      </c>
      <c r="S49" s="14">
        <f>Order!O49</f>
        <v>0</v>
      </c>
      <c r="T49" s="14">
        <f>Order!P49</f>
        <v>0</v>
      </c>
      <c r="U49" s="14">
        <f>Order!Q49</f>
        <v>0</v>
      </c>
      <c r="W49" s="14">
        <v>0</v>
      </c>
      <c r="X49" s="14">
        <f>Order!T49</f>
        <v>0</v>
      </c>
      <c r="Y49" s="14">
        <f>IF(OR(W49=0,Z49=0),0,INDEX(Distances!$E$15:$P$26,MATCH(W49,Distances!$C$15:$C$26,0),MATCH(Z49,Distances!$E$13:$P$13,0)))</f>
        <v>0</v>
      </c>
      <c r="Z49" s="14">
        <f>Order!U49</f>
        <v>0</v>
      </c>
      <c r="AA49" s="14">
        <f>Order!V49</f>
        <v>0</v>
      </c>
      <c r="AB49" s="14">
        <f>Order!W49</f>
        <v>0</v>
      </c>
      <c r="AC49" s="14">
        <f>Order!X49</f>
        <v>0</v>
      </c>
      <c r="AD49" s="14">
        <f>Order!Y49</f>
        <v>0</v>
      </c>
    </row>
    <row r="50" spans="5:30" ht="15.75" customHeight="1" x14ac:dyDescent="0.25">
      <c r="E50" s="14" t="s">
        <v>14</v>
      </c>
      <c r="F50" s="14" t="str">
        <f>Order!D50</f>
        <v>Lorry 3</v>
      </c>
      <c r="G50" s="14">
        <f>IF(OR(E50=0,H50=0),0,INDEX(Distances!$E$15:$P$26,MATCH(E50,Distances!$C$15:$C$26,0),MATCH(H50,Distances!$E$13:$P$13,0)))</f>
        <v>597</v>
      </c>
      <c r="H50" s="14" t="str">
        <f>Order!E50</f>
        <v>Berlin</v>
      </c>
      <c r="I50" s="14">
        <f>Order!F50</f>
        <v>0</v>
      </c>
      <c r="J50" s="14">
        <f>Order!G50</f>
        <v>0</v>
      </c>
      <c r="K50" s="14">
        <f>Order!H50</f>
        <v>24</v>
      </c>
      <c r="L50" s="14">
        <f>Order!I50</f>
        <v>0</v>
      </c>
      <c r="N50" s="14">
        <v>0</v>
      </c>
      <c r="O50" s="14">
        <f>Order!L50</f>
        <v>0</v>
      </c>
      <c r="P50" s="14">
        <f>IF(OR(N50=0,Q50=0),0,INDEX(Distances!$E$15:$P$26,MATCH(N50,Distances!$C$15:$C$26,0),MATCH(Q50,Distances!$E$13:$P$13,0)))</f>
        <v>0</v>
      </c>
      <c r="Q50" s="14">
        <f>Order!M50</f>
        <v>0</v>
      </c>
      <c r="R50" s="14">
        <f>Order!N50</f>
        <v>0</v>
      </c>
      <c r="S50" s="14">
        <f>Order!O50</f>
        <v>0</v>
      </c>
      <c r="T50" s="14">
        <f>Order!P50</f>
        <v>0</v>
      </c>
      <c r="U50" s="14">
        <f>Order!Q50</f>
        <v>0</v>
      </c>
      <c r="W50" s="14" t="s">
        <v>14</v>
      </c>
      <c r="X50" s="14" t="str">
        <f>Order!T50</f>
        <v>Lorry 1</v>
      </c>
      <c r="Y50" s="14">
        <f>IF(OR(W50=0,Z50=0),0,INDEX(Distances!$E$15:$P$26,MATCH(W50,Distances!$C$15:$C$26,0),MATCH(Z50,Distances!$E$13:$P$13,0)))</f>
        <v>0</v>
      </c>
      <c r="Z50" s="14" t="str">
        <f>Order!U50</f>
        <v>Arnhem factory</v>
      </c>
      <c r="AA50" s="14">
        <f>Order!V50</f>
        <v>0</v>
      </c>
      <c r="AB50" s="14">
        <f>Order!W50</f>
        <v>0</v>
      </c>
      <c r="AC50" s="14">
        <f>Order!X50</f>
        <v>0</v>
      </c>
      <c r="AD50" s="14">
        <f>Order!Y50</f>
        <v>0</v>
      </c>
    </row>
    <row r="51" spans="5:30" ht="15.75" customHeight="1" x14ac:dyDescent="0.25">
      <c r="E51" s="14" t="s">
        <v>82</v>
      </c>
      <c r="F51" s="14" t="str">
        <f>Order!D51</f>
        <v>Lorry 3</v>
      </c>
      <c r="G51" s="14">
        <f>IF(OR(E51=0,H51=0),0,INDEX(Distances!$E$15:$P$26,MATCH(E51,Distances!$C$15:$C$26,0),MATCH(H51,Distances!$E$13:$P$13,0)))</f>
        <v>597</v>
      </c>
      <c r="H51" s="14" t="str">
        <f>Order!E51</f>
        <v>Arnhem factory</v>
      </c>
      <c r="I51" s="14">
        <f>Order!F51</f>
        <v>24</v>
      </c>
      <c r="J51" s="14">
        <f>Order!G51</f>
        <v>0</v>
      </c>
      <c r="K51" s="14">
        <f>Order!H51</f>
        <v>0</v>
      </c>
      <c r="L51" s="14">
        <f>Order!I51</f>
        <v>0</v>
      </c>
      <c r="N51" s="14">
        <v>0</v>
      </c>
      <c r="O51" s="14">
        <f>Order!L51</f>
        <v>0</v>
      </c>
      <c r="P51" s="14">
        <f>IF(OR(N51=0,Q51=0),0,INDEX(Distances!$E$15:$P$26,MATCH(N51,Distances!$C$15:$C$26,0),MATCH(Q51,Distances!$E$13:$P$13,0)))</f>
        <v>0</v>
      </c>
      <c r="Q51" s="14">
        <f>Order!M51</f>
        <v>0</v>
      </c>
      <c r="R51" s="14">
        <f>Order!N51</f>
        <v>0</v>
      </c>
      <c r="S51" s="14">
        <f>Order!O51</f>
        <v>0</v>
      </c>
      <c r="T51" s="14">
        <f>Order!P51</f>
        <v>0</v>
      </c>
      <c r="U51" s="14">
        <f>Order!Q51</f>
        <v>0</v>
      </c>
      <c r="W51" s="14" t="s">
        <v>39</v>
      </c>
      <c r="X51" s="14" t="str">
        <f>Order!T51</f>
        <v>Lorry 2</v>
      </c>
      <c r="Y51" s="14">
        <f>IF(OR(W51=0,Z51=0),0,INDEX(Distances!$E$15:$P$26,MATCH(W51,Distances!$C$15:$C$26,0),MATCH(Z51,Distances!$E$13:$P$13,0)))</f>
        <v>0</v>
      </c>
      <c r="Z51" s="14" t="str">
        <f>Order!U51</f>
        <v>Vesoul factory</v>
      </c>
      <c r="AA51" s="14">
        <f>Order!V51</f>
        <v>0</v>
      </c>
      <c r="AB51" s="14">
        <f>Order!W51</f>
        <v>0</v>
      </c>
      <c r="AC51" s="14">
        <f>Order!X51</f>
        <v>0</v>
      </c>
      <c r="AD51" s="14">
        <f>Order!Y51</f>
        <v>0</v>
      </c>
    </row>
    <row r="52" spans="5:30" ht="15.75" customHeight="1" x14ac:dyDescent="0.25">
      <c r="E52" s="14" t="s">
        <v>14</v>
      </c>
      <c r="F52" s="14" t="str">
        <f>Order!D52</f>
        <v>Lorry 3</v>
      </c>
      <c r="G52" s="14">
        <f>IF(OR(E52=0,H52=0),0,INDEX(Distances!$E$15:$P$26,MATCH(E52,Distances!$C$15:$C$26,0),MATCH(H52,Distances!$E$13:$P$13,0)))</f>
        <v>509</v>
      </c>
      <c r="H52" s="14" t="str">
        <f>Order!E52</f>
        <v>Paris</v>
      </c>
      <c r="I52" s="14">
        <f>Order!F52</f>
        <v>0</v>
      </c>
      <c r="J52" s="14">
        <f>Order!G52</f>
        <v>0</v>
      </c>
      <c r="K52" s="14">
        <f>Order!H52</f>
        <v>24</v>
      </c>
      <c r="L52" s="14">
        <f>Order!I52</f>
        <v>0</v>
      </c>
      <c r="N52" s="14">
        <v>0</v>
      </c>
      <c r="O52" s="14">
        <f>Order!L52</f>
        <v>0</v>
      </c>
      <c r="P52" s="14">
        <f>IF(OR(N52=0,Q52=0),0,INDEX(Distances!$E$15:$P$26,MATCH(N52,Distances!$C$15:$C$26,0),MATCH(Q52,Distances!$E$13:$P$13,0)))</f>
        <v>0</v>
      </c>
      <c r="Q52" s="14">
        <f>Order!M52</f>
        <v>0</v>
      </c>
      <c r="R52" s="14">
        <f>Order!N52</f>
        <v>0</v>
      </c>
      <c r="S52" s="14">
        <f>Order!O52</f>
        <v>0</v>
      </c>
      <c r="T52" s="14">
        <f>Order!P52</f>
        <v>0</v>
      </c>
      <c r="U52" s="14">
        <f>Order!Q52</f>
        <v>0</v>
      </c>
      <c r="W52" s="14" t="s">
        <v>65</v>
      </c>
      <c r="X52" s="14" t="str">
        <f>Order!T52</f>
        <v>Lorry 3</v>
      </c>
      <c r="Y52" s="14">
        <f>IF(OR(W52=0,Z52=0),0,INDEX(Distances!$E$15:$P$26,MATCH(W52,Distances!$C$15:$C$26,0),MATCH(Z52,Distances!$E$13:$P$13,0)))</f>
        <v>0</v>
      </c>
      <c r="Z52" s="14" t="str">
        <f>Order!U52</f>
        <v>Paris</v>
      </c>
      <c r="AA52" s="14">
        <f>Order!V52</f>
        <v>0</v>
      </c>
      <c r="AB52" s="14">
        <f>Order!W52</f>
        <v>0</v>
      </c>
      <c r="AC52" s="14">
        <f>Order!X52</f>
        <v>0</v>
      </c>
      <c r="AD52" s="14">
        <f>Order!Y52</f>
        <v>0</v>
      </c>
    </row>
    <row r="54" spans="5:30" ht="15.75" customHeight="1" x14ac:dyDescent="0.25">
      <c r="G54" s="2">
        <f>SUM(G28:G52)/60</f>
        <v>388.06666666666666</v>
      </c>
      <c r="I54" s="2">
        <f>SUM(I28:I52)</f>
        <v>199</v>
      </c>
      <c r="P54" s="2">
        <f>SUM(P28:P52)/60</f>
        <v>59.033333333333331</v>
      </c>
      <c r="Y54" s="2">
        <f>SUM(Y28:Y52)/60</f>
        <v>0</v>
      </c>
    </row>
  </sheetData>
  <pageMargins left="0.78740157499999996" right="0.78740157499999996" top="0.984251969" bottom="0.984251969" header="0.4921259845" footer="0.492125984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F9586-3C07-45F3-A560-984AC68A7384}">
  <dimension ref="A1:O54"/>
  <sheetViews>
    <sheetView workbookViewId="0">
      <pane xSplit="2" ySplit="1" topLeftCell="C2" activePane="bottomRight" state="frozenSplit"/>
      <selection activeCell="AH43" sqref="AH43"/>
      <selection pane="topRight" activeCell="AH43" sqref="AH43"/>
      <selection pane="bottomLeft" activeCell="AH43" sqref="AH43"/>
      <selection pane="bottomRight" activeCell="L2" sqref="L2"/>
    </sheetView>
  </sheetViews>
  <sheetFormatPr baseColWidth="10" defaultColWidth="17" defaultRowHeight="13.2" x14ac:dyDescent="0.25"/>
  <cols>
    <col min="1" max="1" width="13.5546875" style="2" bestFit="1" customWidth="1"/>
    <col min="2" max="2" width="21.5546875" style="2" bestFit="1" customWidth="1"/>
    <col min="3" max="4" width="9.33203125" style="2" bestFit="1" customWidth="1"/>
    <col min="5" max="5" width="7.109375" style="2" bestFit="1" customWidth="1"/>
    <col min="6" max="6" width="7.44140625" style="2" bestFit="1" customWidth="1"/>
    <col min="7" max="7" width="9.88671875" style="2" bestFit="1" customWidth="1"/>
    <col min="8" max="8" width="16.88671875" style="2" bestFit="1" customWidth="1"/>
    <col min="9" max="9" width="19.44140625" style="2" bestFit="1" customWidth="1"/>
    <col min="10" max="10" width="13.109375" style="2" bestFit="1" customWidth="1"/>
    <col min="11" max="11" width="10.44140625" style="2" bestFit="1" customWidth="1"/>
    <col min="12" max="12" width="30.109375" style="2" bestFit="1" customWidth="1"/>
    <col min="13" max="13" width="20.5546875" style="2" bestFit="1" customWidth="1"/>
    <col min="14" max="14" width="2" style="2" bestFit="1" customWidth="1"/>
    <col min="15" max="15" width="16.44140625" style="2" bestFit="1" customWidth="1"/>
    <col min="16" max="255" width="17" style="2"/>
    <col min="256" max="256" width="11.44140625" style="2" customWidth="1"/>
    <col min="257" max="263" width="17" style="2" customWidth="1"/>
    <col min="264" max="264" width="19.44140625" style="2" bestFit="1" customWidth="1"/>
    <col min="265" max="511" width="17" style="2"/>
    <col min="512" max="512" width="11.44140625" style="2" customWidth="1"/>
    <col min="513" max="519" width="17" style="2" customWidth="1"/>
    <col min="520" max="520" width="19.44140625" style="2" bestFit="1" customWidth="1"/>
    <col min="521" max="767" width="17" style="2"/>
    <col min="768" max="768" width="11.44140625" style="2" customWidth="1"/>
    <col min="769" max="775" width="17" style="2" customWidth="1"/>
    <col min="776" max="776" width="19.44140625" style="2" bestFit="1" customWidth="1"/>
    <col min="777" max="1023" width="17" style="2"/>
    <col min="1024" max="1024" width="11.44140625" style="2" customWidth="1"/>
    <col min="1025" max="1031" width="17" style="2" customWidth="1"/>
    <col min="1032" max="1032" width="19.44140625" style="2" bestFit="1" customWidth="1"/>
    <col min="1033" max="1279" width="17" style="2"/>
    <col min="1280" max="1280" width="11.44140625" style="2" customWidth="1"/>
    <col min="1281" max="1287" width="17" style="2" customWidth="1"/>
    <col min="1288" max="1288" width="19.44140625" style="2" bestFit="1" customWidth="1"/>
    <col min="1289" max="1535" width="17" style="2"/>
    <col min="1536" max="1536" width="11.44140625" style="2" customWidth="1"/>
    <col min="1537" max="1543" width="17" style="2" customWidth="1"/>
    <col min="1544" max="1544" width="19.44140625" style="2" bestFit="1" customWidth="1"/>
    <col min="1545" max="1791" width="17" style="2"/>
    <col min="1792" max="1792" width="11.44140625" style="2" customWidth="1"/>
    <col min="1793" max="1799" width="17" style="2" customWidth="1"/>
    <col min="1800" max="1800" width="19.44140625" style="2" bestFit="1" customWidth="1"/>
    <col min="1801" max="2047" width="17" style="2"/>
    <col min="2048" max="2048" width="11.44140625" style="2" customWidth="1"/>
    <col min="2049" max="2055" width="17" style="2" customWidth="1"/>
    <col min="2056" max="2056" width="19.44140625" style="2" bestFit="1" customWidth="1"/>
    <col min="2057" max="2303" width="17" style="2"/>
    <col min="2304" max="2304" width="11.44140625" style="2" customWidth="1"/>
    <col min="2305" max="2311" width="17" style="2" customWidth="1"/>
    <col min="2312" max="2312" width="19.44140625" style="2" bestFit="1" customWidth="1"/>
    <col min="2313" max="2559" width="17" style="2"/>
    <col min="2560" max="2560" width="11.44140625" style="2" customWidth="1"/>
    <col min="2561" max="2567" width="17" style="2" customWidth="1"/>
    <col min="2568" max="2568" width="19.44140625" style="2" bestFit="1" customWidth="1"/>
    <col min="2569" max="2815" width="17" style="2"/>
    <col min="2816" max="2816" width="11.44140625" style="2" customWidth="1"/>
    <col min="2817" max="2823" width="17" style="2" customWidth="1"/>
    <col min="2824" max="2824" width="19.44140625" style="2" bestFit="1" customWidth="1"/>
    <col min="2825" max="3071" width="17" style="2"/>
    <col min="3072" max="3072" width="11.44140625" style="2" customWidth="1"/>
    <col min="3073" max="3079" width="17" style="2" customWidth="1"/>
    <col min="3080" max="3080" width="19.44140625" style="2" bestFit="1" customWidth="1"/>
    <col min="3081" max="3327" width="17" style="2"/>
    <col min="3328" max="3328" width="11.44140625" style="2" customWidth="1"/>
    <col min="3329" max="3335" width="17" style="2" customWidth="1"/>
    <col min="3336" max="3336" width="19.44140625" style="2" bestFit="1" customWidth="1"/>
    <col min="3337" max="3583" width="17" style="2"/>
    <col min="3584" max="3584" width="11.44140625" style="2" customWidth="1"/>
    <col min="3585" max="3591" width="17" style="2" customWidth="1"/>
    <col min="3592" max="3592" width="19.44140625" style="2" bestFit="1" customWidth="1"/>
    <col min="3593" max="3839" width="17" style="2"/>
    <col min="3840" max="3840" width="11.44140625" style="2" customWidth="1"/>
    <col min="3841" max="3847" width="17" style="2" customWidth="1"/>
    <col min="3848" max="3848" width="19.44140625" style="2" bestFit="1" customWidth="1"/>
    <col min="3849" max="4095" width="17" style="2"/>
    <col min="4096" max="4096" width="11.44140625" style="2" customWidth="1"/>
    <col min="4097" max="4103" width="17" style="2" customWidth="1"/>
    <col min="4104" max="4104" width="19.44140625" style="2" bestFit="1" customWidth="1"/>
    <col min="4105" max="4351" width="17" style="2"/>
    <col min="4352" max="4352" width="11.44140625" style="2" customWidth="1"/>
    <col min="4353" max="4359" width="17" style="2" customWidth="1"/>
    <col min="4360" max="4360" width="19.44140625" style="2" bestFit="1" customWidth="1"/>
    <col min="4361" max="4607" width="17" style="2"/>
    <col min="4608" max="4608" width="11.44140625" style="2" customWidth="1"/>
    <col min="4609" max="4615" width="17" style="2" customWidth="1"/>
    <col min="4616" max="4616" width="19.44140625" style="2" bestFit="1" customWidth="1"/>
    <col min="4617" max="4863" width="17" style="2"/>
    <col min="4864" max="4864" width="11.44140625" style="2" customWidth="1"/>
    <col min="4865" max="4871" width="17" style="2" customWidth="1"/>
    <col min="4872" max="4872" width="19.44140625" style="2" bestFit="1" customWidth="1"/>
    <col min="4873" max="5119" width="17" style="2"/>
    <col min="5120" max="5120" width="11.44140625" style="2" customWidth="1"/>
    <col min="5121" max="5127" width="17" style="2" customWidth="1"/>
    <col min="5128" max="5128" width="19.44140625" style="2" bestFit="1" customWidth="1"/>
    <col min="5129" max="5375" width="17" style="2"/>
    <col min="5376" max="5376" width="11.44140625" style="2" customWidth="1"/>
    <col min="5377" max="5383" width="17" style="2" customWidth="1"/>
    <col min="5384" max="5384" width="19.44140625" style="2" bestFit="1" customWidth="1"/>
    <col min="5385" max="5631" width="17" style="2"/>
    <col min="5632" max="5632" width="11.44140625" style="2" customWidth="1"/>
    <col min="5633" max="5639" width="17" style="2" customWidth="1"/>
    <col min="5640" max="5640" width="19.44140625" style="2" bestFit="1" customWidth="1"/>
    <col min="5641" max="5887" width="17" style="2"/>
    <col min="5888" max="5888" width="11.44140625" style="2" customWidth="1"/>
    <col min="5889" max="5895" width="17" style="2" customWidth="1"/>
    <col min="5896" max="5896" width="19.44140625" style="2" bestFit="1" customWidth="1"/>
    <col min="5897" max="6143" width="17" style="2"/>
    <col min="6144" max="6144" width="11.44140625" style="2" customWidth="1"/>
    <col min="6145" max="6151" width="17" style="2" customWidth="1"/>
    <col min="6152" max="6152" width="19.44140625" style="2" bestFit="1" customWidth="1"/>
    <col min="6153" max="6399" width="17" style="2"/>
    <col min="6400" max="6400" width="11.44140625" style="2" customWidth="1"/>
    <col min="6401" max="6407" width="17" style="2" customWidth="1"/>
    <col min="6408" max="6408" width="19.44140625" style="2" bestFit="1" customWidth="1"/>
    <col min="6409" max="6655" width="17" style="2"/>
    <col min="6656" max="6656" width="11.44140625" style="2" customWidth="1"/>
    <col min="6657" max="6663" width="17" style="2" customWidth="1"/>
    <col min="6664" max="6664" width="19.44140625" style="2" bestFit="1" customWidth="1"/>
    <col min="6665" max="6911" width="17" style="2"/>
    <col min="6912" max="6912" width="11.44140625" style="2" customWidth="1"/>
    <col min="6913" max="6919" width="17" style="2" customWidth="1"/>
    <col min="6920" max="6920" width="19.44140625" style="2" bestFit="1" customWidth="1"/>
    <col min="6921" max="7167" width="17" style="2"/>
    <col min="7168" max="7168" width="11.44140625" style="2" customWidth="1"/>
    <col min="7169" max="7175" width="17" style="2" customWidth="1"/>
    <col min="7176" max="7176" width="19.44140625" style="2" bestFit="1" customWidth="1"/>
    <col min="7177" max="7423" width="17" style="2"/>
    <col min="7424" max="7424" width="11.44140625" style="2" customWidth="1"/>
    <col min="7425" max="7431" width="17" style="2" customWidth="1"/>
    <col min="7432" max="7432" width="19.44140625" style="2" bestFit="1" customWidth="1"/>
    <col min="7433" max="7679" width="17" style="2"/>
    <col min="7680" max="7680" width="11.44140625" style="2" customWidth="1"/>
    <col min="7681" max="7687" width="17" style="2" customWidth="1"/>
    <col min="7688" max="7688" width="19.44140625" style="2" bestFit="1" customWidth="1"/>
    <col min="7689" max="7935" width="17" style="2"/>
    <col min="7936" max="7936" width="11.44140625" style="2" customWidth="1"/>
    <col min="7937" max="7943" width="17" style="2" customWidth="1"/>
    <col min="7944" max="7944" width="19.44140625" style="2" bestFit="1" customWidth="1"/>
    <col min="7945" max="8191" width="17" style="2"/>
    <col min="8192" max="8192" width="11.44140625" style="2" customWidth="1"/>
    <col min="8193" max="8199" width="17" style="2" customWidth="1"/>
    <col min="8200" max="8200" width="19.44140625" style="2" bestFit="1" customWidth="1"/>
    <col min="8201" max="8447" width="17" style="2"/>
    <col min="8448" max="8448" width="11.44140625" style="2" customWidth="1"/>
    <col min="8449" max="8455" width="17" style="2" customWidth="1"/>
    <col min="8456" max="8456" width="19.44140625" style="2" bestFit="1" customWidth="1"/>
    <col min="8457" max="8703" width="17" style="2"/>
    <col min="8704" max="8704" width="11.44140625" style="2" customWidth="1"/>
    <col min="8705" max="8711" width="17" style="2" customWidth="1"/>
    <col min="8712" max="8712" width="19.44140625" style="2" bestFit="1" customWidth="1"/>
    <col min="8713" max="8959" width="17" style="2"/>
    <col min="8960" max="8960" width="11.44140625" style="2" customWidth="1"/>
    <col min="8961" max="8967" width="17" style="2" customWidth="1"/>
    <col min="8968" max="8968" width="19.44140625" style="2" bestFit="1" customWidth="1"/>
    <col min="8969" max="9215" width="17" style="2"/>
    <col min="9216" max="9216" width="11.44140625" style="2" customWidth="1"/>
    <col min="9217" max="9223" width="17" style="2" customWidth="1"/>
    <col min="9224" max="9224" width="19.44140625" style="2" bestFit="1" customWidth="1"/>
    <col min="9225" max="9471" width="17" style="2"/>
    <col min="9472" max="9472" width="11.44140625" style="2" customWidth="1"/>
    <col min="9473" max="9479" width="17" style="2" customWidth="1"/>
    <col min="9480" max="9480" width="19.44140625" style="2" bestFit="1" customWidth="1"/>
    <col min="9481" max="9727" width="17" style="2"/>
    <col min="9728" max="9728" width="11.44140625" style="2" customWidth="1"/>
    <col min="9729" max="9735" width="17" style="2" customWidth="1"/>
    <col min="9736" max="9736" width="19.44140625" style="2" bestFit="1" customWidth="1"/>
    <col min="9737" max="9983" width="17" style="2"/>
    <col min="9984" max="9984" width="11.44140625" style="2" customWidth="1"/>
    <col min="9985" max="9991" width="17" style="2" customWidth="1"/>
    <col min="9992" max="9992" width="19.44140625" style="2" bestFit="1" customWidth="1"/>
    <col min="9993" max="10239" width="17" style="2"/>
    <col min="10240" max="10240" width="11.44140625" style="2" customWidth="1"/>
    <col min="10241" max="10247" width="17" style="2" customWidth="1"/>
    <col min="10248" max="10248" width="19.44140625" style="2" bestFit="1" customWidth="1"/>
    <col min="10249" max="10495" width="17" style="2"/>
    <col min="10496" max="10496" width="11.44140625" style="2" customWidth="1"/>
    <col min="10497" max="10503" width="17" style="2" customWidth="1"/>
    <col min="10504" max="10504" width="19.44140625" style="2" bestFit="1" customWidth="1"/>
    <col min="10505" max="10751" width="17" style="2"/>
    <col min="10752" max="10752" width="11.44140625" style="2" customWidth="1"/>
    <col min="10753" max="10759" width="17" style="2" customWidth="1"/>
    <col min="10760" max="10760" width="19.44140625" style="2" bestFit="1" customWidth="1"/>
    <col min="10761" max="11007" width="17" style="2"/>
    <col min="11008" max="11008" width="11.44140625" style="2" customWidth="1"/>
    <col min="11009" max="11015" width="17" style="2" customWidth="1"/>
    <col min="11016" max="11016" width="19.44140625" style="2" bestFit="1" customWidth="1"/>
    <col min="11017" max="11263" width="17" style="2"/>
    <col min="11264" max="11264" width="11.44140625" style="2" customWidth="1"/>
    <col min="11265" max="11271" width="17" style="2" customWidth="1"/>
    <col min="11272" max="11272" width="19.44140625" style="2" bestFit="1" customWidth="1"/>
    <col min="11273" max="11519" width="17" style="2"/>
    <col min="11520" max="11520" width="11.44140625" style="2" customWidth="1"/>
    <col min="11521" max="11527" width="17" style="2" customWidth="1"/>
    <col min="11528" max="11528" width="19.44140625" style="2" bestFit="1" customWidth="1"/>
    <col min="11529" max="11775" width="17" style="2"/>
    <col min="11776" max="11776" width="11.44140625" style="2" customWidth="1"/>
    <col min="11777" max="11783" width="17" style="2" customWidth="1"/>
    <col min="11784" max="11784" width="19.44140625" style="2" bestFit="1" customWidth="1"/>
    <col min="11785" max="12031" width="17" style="2"/>
    <col min="12032" max="12032" width="11.44140625" style="2" customWidth="1"/>
    <col min="12033" max="12039" width="17" style="2" customWidth="1"/>
    <col min="12040" max="12040" width="19.44140625" style="2" bestFit="1" customWidth="1"/>
    <col min="12041" max="12287" width="17" style="2"/>
    <col min="12288" max="12288" width="11.44140625" style="2" customWidth="1"/>
    <col min="12289" max="12295" width="17" style="2" customWidth="1"/>
    <col min="12296" max="12296" width="19.44140625" style="2" bestFit="1" customWidth="1"/>
    <col min="12297" max="12543" width="17" style="2"/>
    <col min="12544" max="12544" width="11.44140625" style="2" customWidth="1"/>
    <col min="12545" max="12551" width="17" style="2" customWidth="1"/>
    <col min="12552" max="12552" width="19.44140625" style="2" bestFit="1" customWidth="1"/>
    <col min="12553" max="12799" width="17" style="2"/>
    <col min="12800" max="12800" width="11.44140625" style="2" customWidth="1"/>
    <col min="12801" max="12807" width="17" style="2" customWidth="1"/>
    <col min="12808" max="12808" width="19.44140625" style="2" bestFit="1" customWidth="1"/>
    <col min="12809" max="13055" width="17" style="2"/>
    <col min="13056" max="13056" width="11.44140625" style="2" customWidth="1"/>
    <col min="13057" max="13063" width="17" style="2" customWidth="1"/>
    <col min="13064" max="13064" width="19.44140625" style="2" bestFit="1" customWidth="1"/>
    <col min="13065" max="13311" width="17" style="2"/>
    <col min="13312" max="13312" width="11.44140625" style="2" customWidth="1"/>
    <col min="13313" max="13319" width="17" style="2" customWidth="1"/>
    <col min="13320" max="13320" width="19.44140625" style="2" bestFit="1" customWidth="1"/>
    <col min="13321" max="13567" width="17" style="2"/>
    <col min="13568" max="13568" width="11.44140625" style="2" customWidth="1"/>
    <col min="13569" max="13575" width="17" style="2" customWidth="1"/>
    <col min="13576" max="13576" width="19.44140625" style="2" bestFit="1" customWidth="1"/>
    <col min="13577" max="13823" width="17" style="2"/>
    <col min="13824" max="13824" width="11.44140625" style="2" customWidth="1"/>
    <col min="13825" max="13831" width="17" style="2" customWidth="1"/>
    <col min="13832" max="13832" width="19.44140625" style="2" bestFit="1" customWidth="1"/>
    <col min="13833" max="14079" width="17" style="2"/>
    <col min="14080" max="14080" width="11.44140625" style="2" customWidth="1"/>
    <col min="14081" max="14087" width="17" style="2" customWidth="1"/>
    <col min="14088" max="14088" width="19.44140625" style="2" bestFit="1" customWidth="1"/>
    <col min="14089" max="14335" width="17" style="2"/>
    <col min="14336" max="14336" width="11.44140625" style="2" customWidth="1"/>
    <col min="14337" max="14343" width="17" style="2" customWidth="1"/>
    <col min="14344" max="14344" width="19.44140625" style="2" bestFit="1" customWidth="1"/>
    <col min="14345" max="14591" width="17" style="2"/>
    <col min="14592" max="14592" width="11.44140625" style="2" customWidth="1"/>
    <col min="14593" max="14599" width="17" style="2" customWidth="1"/>
    <col min="14600" max="14600" width="19.44140625" style="2" bestFit="1" customWidth="1"/>
    <col min="14601" max="14847" width="17" style="2"/>
    <col min="14848" max="14848" width="11.44140625" style="2" customWidth="1"/>
    <col min="14849" max="14855" width="17" style="2" customWidth="1"/>
    <col min="14856" max="14856" width="19.44140625" style="2" bestFit="1" customWidth="1"/>
    <col min="14857" max="15103" width="17" style="2"/>
    <col min="15104" max="15104" width="11.44140625" style="2" customWidth="1"/>
    <col min="15105" max="15111" width="17" style="2" customWidth="1"/>
    <col min="15112" max="15112" width="19.44140625" style="2" bestFit="1" customWidth="1"/>
    <col min="15113" max="15359" width="17" style="2"/>
    <col min="15360" max="15360" width="11.44140625" style="2" customWidth="1"/>
    <col min="15361" max="15367" width="17" style="2" customWidth="1"/>
    <col min="15368" max="15368" width="19.44140625" style="2" bestFit="1" customWidth="1"/>
    <col min="15369" max="15615" width="17" style="2"/>
    <col min="15616" max="15616" width="11.44140625" style="2" customWidth="1"/>
    <col min="15617" max="15623" width="17" style="2" customWidth="1"/>
    <col min="15624" max="15624" width="19.44140625" style="2" bestFit="1" customWidth="1"/>
    <col min="15625" max="15871" width="17" style="2"/>
    <col min="15872" max="15872" width="11.44140625" style="2" customWidth="1"/>
    <col min="15873" max="15879" width="17" style="2" customWidth="1"/>
    <col min="15880" max="15880" width="19.44140625" style="2" bestFit="1" customWidth="1"/>
    <col min="15881" max="16127" width="17" style="2"/>
    <col min="16128" max="16128" width="11.44140625" style="2" customWidth="1"/>
    <col min="16129" max="16135" width="17" style="2" customWidth="1"/>
    <col min="16136" max="16136" width="19.44140625" style="2" bestFit="1" customWidth="1"/>
    <col min="16137" max="16384" width="17" style="2"/>
  </cols>
  <sheetData>
    <row r="1" spans="1:15" x14ac:dyDescent="0.25">
      <c r="A1" s="2" t="s">
        <v>313</v>
      </c>
      <c r="B1" s="2" t="s">
        <v>373</v>
      </c>
      <c r="C1" s="2" t="s">
        <v>374</v>
      </c>
      <c r="D1" s="2" t="s">
        <v>375</v>
      </c>
      <c r="E1" s="2" t="s">
        <v>376</v>
      </c>
      <c r="F1" s="2" t="s">
        <v>377</v>
      </c>
      <c r="G1" s="2" t="s">
        <v>378</v>
      </c>
      <c r="H1" s="2" t="s">
        <v>379</v>
      </c>
      <c r="I1" s="2" t="s">
        <v>380</v>
      </c>
      <c r="J1" s="2" t="s">
        <v>381</v>
      </c>
      <c r="K1" s="2" t="s">
        <v>382</v>
      </c>
      <c r="L1" s="2" t="s">
        <v>383</v>
      </c>
      <c r="M1" s="2" t="s">
        <v>384</v>
      </c>
      <c r="N1" s="2">
        <f>COUNTA(Bilan!7:7)+3</f>
        <v>8</v>
      </c>
      <c r="O1" s="2" t="s">
        <v>385</v>
      </c>
    </row>
    <row r="2" spans="1:15" x14ac:dyDescent="0.25">
      <c r="A2" s="2" t="s">
        <v>80</v>
      </c>
      <c r="B2" s="2" t="s">
        <v>386</v>
      </c>
      <c r="C2" s="2">
        <v>1534</v>
      </c>
      <c r="D2" s="2">
        <v>400</v>
      </c>
      <c r="E2" s="2">
        <v>207</v>
      </c>
      <c r="F2" s="2">
        <v>131</v>
      </c>
      <c r="G2" s="2">
        <v>0</v>
      </c>
      <c r="H2" s="2">
        <v>1</v>
      </c>
      <c r="I2" s="2">
        <v>1</v>
      </c>
      <c r="L2" s="2" t="s">
        <v>387</v>
      </c>
    </row>
    <row r="3" spans="1:15" x14ac:dyDescent="0.25">
      <c r="A3" s="2" t="s">
        <v>80</v>
      </c>
      <c r="B3" s="2" t="s">
        <v>388</v>
      </c>
      <c r="C3" s="2">
        <v>1639</v>
      </c>
      <c r="D3" s="2">
        <v>401</v>
      </c>
      <c r="E3" s="2">
        <v>12</v>
      </c>
      <c r="F3" s="2">
        <v>12</v>
      </c>
      <c r="G3" s="2">
        <v>4</v>
      </c>
      <c r="H3" s="2">
        <v>5</v>
      </c>
      <c r="I3" s="2">
        <v>30</v>
      </c>
      <c r="J3" s="2">
        <f>M3</f>
        <v>0</v>
      </c>
      <c r="K3" s="2">
        <f t="shared" ref="K3:K53" si="0">J3</f>
        <v>0</v>
      </c>
      <c r="L3" s="2" t="s">
        <v>389</v>
      </c>
      <c r="M3" s="2">
        <f>INDEX(Bilan!$1:$300,O3,$N$1)</f>
        <v>0</v>
      </c>
      <c r="O3" s="2">
        <v>199</v>
      </c>
    </row>
    <row r="4" spans="1:15" x14ac:dyDescent="0.25">
      <c r="A4" s="2" t="s">
        <v>80</v>
      </c>
      <c r="B4" s="2" t="s">
        <v>390</v>
      </c>
      <c r="C4" s="2">
        <v>1559</v>
      </c>
      <c r="D4" s="2">
        <v>401</v>
      </c>
      <c r="E4" s="2">
        <v>12</v>
      </c>
      <c r="F4" s="2">
        <v>12</v>
      </c>
      <c r="G4" s="2">
        <v>4</v>
      </c>
      <c r="H4" s="2">
        <v>5</v>
      </c>
      <c r="I4" s="2">
        <v>30</v>
      </c>
      <c r="J4" s="2">
        <f>M4</f>
        <v>0</v>
      </c>
      <c r="K4" s="2">
        <f t="shared" si="0"/>
        <v>0</v>
      </c>
      <c r="L4" s="2" t="s">
        <v>391</v>
      </c>
      <c r="M4" s="2">
        <f>INDEX(Bilan!$1:$300,O4,$N$1)</f>
        <v>0</v>
      </c>
      <c r="O4" s="2">
        <v>198</v>
      </c>
    </row>
    <row r="5" spans="1:15" x14ac:dyDescent="0.25">
      <c r="A5" s="2" t="s">
        <v>81</v>
      </c>
      <c r="B5" s="2" t="s">
        <v>392</v>
      </c>
      <c r="C5" s="2">
        <v>1385</v>
      </c>
      <c r="D5" s="2">
        <v>843</v>
      </c>
      <c r="E5" s="2">
        <v>207</v>
      </c>
      <c r="F5" s="2">
        <v>131</v>
      </c>
      <c r="G5" s="2">
        <v>0</v>
      </c>
      <c r="H5" s="2">
        <v>1</v>
      </c>
      <c r="I5" s="2">
        <v>1</v>
      </c>
      <c r="L5" s="2" t="s">
        <v>393</v>
      </c>
    </row>
    <row r="6" spans="1:15" x14ac:dyDescent="0.25">
      <c r="A6" s="2" t="s">
        <v>81</v>
      </c>
      <c r="B6" s="2" t="s">
        <v>394</v>
      </c>
      <c r="C6" s="2">
        <v>1490</v>
      </c>
      <c r="D6" s="2">
        <v>844</v>
      </c>
      <c r="E6" s="2">
        <v>12</v>
      </c>
      <c r="F6" s="2">
        <v>12</v>
      </c>
      <c r="G6" s="2">
        <v>4</v>
      </c>
      <c r="H6" s="2">
        <v>5</v>
      </c>
      <c r="I6" s="2">
        <v>30</v>
      </c>
      <c r="J6" s="2">
        <f>M6</f>
        <v>0</v>
      </c>
      <c r="K6" s="2">
        <f t="shared" si="0"/>
        <v>0</v>
      </c>
      <c r="L6" s="2" t="s">
        <v>395</v>
      </c>
      <c r="M6" s="2">
        <f>INDEX(Bilan!$1:$300,O6,$N$1)</f>
        <v>0</v>
      </c>
      <c r="O6" s="2">
        <v>211</v>
      </c>
    </row>
    <row r="7" spans="1:15" x14ac:dyDescent="0.25">
      <c r="A7" s="2" t="s">
        <v>81</v>
      </c>
      <c r="B7" s="2" t="s">
        <v>396</v>
      </c>
      <c r="C7" s="2">
        <v>1390</v>
      </c>
      <c r="D7" s="2">
        <v>844</v>
      </c>
      <c r="E7" s="2">
        <v>12</v>
      </c>
      <c r="F7" s="2">
        <v>12</v>
      </c>
      <c r="G7" s="2">
        <v>4</v>
      </c>
      <c r="H7" s="2">
        <v>5</v>
      </c>
      <c r="I7" s="2">
        <v>30</v>
      </c>
      <c r="J7" s="2">
        <f>M7</f>
        <v>0</v>
      </c>
      <c r="K7" s="2">
        <f t="shared" si="0"/>
        <v>0</v>
      </c>
      <c r="L7" s="2" t="s">
        <v>397</v>
      </c>
      <c r="M7" s="2">
        <f>INDEX(Bilan!$1:$300,O7,$N$1)</f>
        <v>0</v>
      </c>
      <c r="O7" s="2">
        <v>210</v>
      </c>
    </row>
    <row r="8" spans="1:15" x14ac:dyDescent="0.25">
      <c r="A8" s="2" t="s">
        <v>82</v>
      </c>
      <c r="B8" s="2" t="s">
        <v>398</v>
      </c>
      <c r="C8" s="2">
        <v>945</v>
      </c>
      <c r="D8" s="2">
        <v>850</v>
      </c>
      <c r="E8" s="2">
        <v>207</v>
      </c>
      <c r="F8" s="2">
        <v>131</v>
      </c>
      <c r="G8" s="2">
        <v>0</v>
      </c>
      <c r="H8" s="2">
        <v>1</v>
      </c>
      <c r="I8" s="2">
        <v>1</v>
      </c>
      <c r="L8" s="2" t="s">
        <v>399</v>
      </c>
      <c r="M8" s="2">
        <f>INDEX(Bilan!$1:$300,O8,$N$1)</f>
        <v>0</v>
      </c>
    </row>
    <row r="9" spans="1:15" x14ac:dyDescent="0.25">
      <c r="A9" s="2" t="s">
        <v>82</v>
      </c>
      <c r="B9" s="2" t="s">
        <v>400</v>
      </c>
      <c r="C9" s="2">
        <v>1050</v>
      </c>
      <c r="D9" s="2">
        <v>851</v>
      </c>
      <c r="E9" s="2">
        <v>12</v>
      </c>
      <c r="F9" s="2">
        <v>12</v>
      </c>
      <c r="G9" s="2">
        <v>4</v>
      </c>
      <c r="H9" s="2">
        <v>5</v>
      </c>
      <c r="I9" s="2">
        <v>30</v>
      </c>
      <c r="J9" s="2">
        <f>M9</f>
        <v>0</v>
      </c>
      <c r="K9" s="2">
        <f t="shared" si="0"/>
        <v>0</v>
      </c>
      <c r="L9" s="2" t="s">
        <v>401</v>
      </c>
      <c r="M9" s="2">
        <f>INDEX(Bilan!$1:$300,O9,$N$1)</f>
        <v>0</v>
      </c>
      <c r="O9" s="2">
        <v>223</v>
      </c>
    </row>
    <row r="10" spans="1:15" x14ac:dyDescent="0.25">
      <c r="A10" s="2" t="s">
        <v>82</v>
      </c>
      <c r="B10" s="2" t="s">
        <v>402</v>
      </c>
      <c r="C10" s="2">
        <v>950</v>
      </c>
      <c r="D10" s="2">
        <v>851</v>
      </c>
      <c r="E10" s="2">
        <v>12</v>
      </c>
      <c r="F10" s="2">
        <v>12</v>
      </c>
      <c r="G10" s="2">
        <v>4</v>
      </c>
      <c r="H10" s="2">
        <v>5</v>
      </c>
      <c r="I10" s="2">
        <v>30</v>
      </c>
      <c r="J10" s="2">
        <f>M10</f>
        <v>0</v>
      </c>
      <c r="K10" s="2">
        <f t="shared" si="0"/>
        <v>0</v>
      </c>
      <c r="L10" s="2" t="s">
        <v>403</v>
      </c>
      <c r="M10" s="2">
        <f>INDEX(Bilan!$1:$300,O10,$N$1)</f>
        <v>0</v>
      </c>
      <c r="O10" s="2">
        <v>222</v>
      </c>
    </row>
    <row r="11" spans="1:15" x14ac:dyDescent="0.25">
      <c r="A11" s="2" t="s">
        <v>14</v>
      </c>
      <c r="B11" s="2" t="s">
        <v>404</v>
      </c>
      <c r="C11" s="2">
        <v>625</v>
      </c>
      <c r="D11" s="2">
        <v>865</v>
      </c>
      <c r="E11" s="2">
        <v>207</v>
      </c>
      <c r="F11" s="2">
        <v>131</v>
      </c>
      <c r="G11" s="2">
        <v>0</v>
      </c>
      <c r="H11" s="2">
        <v>1</v>
      </c>
      <c r="I11" s="2">
        <v>1</v>
      </c>
      <c r="L11" s="2" t="s">
        <v>405</v>
      </c>
    </row>
    <row r="12" spans="1:15" x14ac:dyDescent="0.25">
      <c r="A12" s="2" t="s">
        <v>14</v>
      </c>
      <c r="B12" s="2" t="s">
        <v>406</v>
      </c>
      <c r="C12" s="2">
        <v>730</v>
      </c>
      <c r="D12" s="2">
        <v>866</v>
      </c>
      <c r="E12" s="2">
        <v>12</v>
      </c>
      <c r="F12" s="2">
        <v>12</v>
      </c>
      <c r="G12" s="2">
        <v>4</v>
      </c>
      <c r="H12" s="2">
        <v>5</v>
      </c>
      <c r="I12" s="2">
        <v>30</v>
      </c>
      <c r="J12" s="2">
        <f>M12</f>
        <v>0</v>
      </c>
      <c r="K12" s="2">
        <f t="shared" si="0"/>
        <v>0</v>
      </c>
      <c r="L12" s="2" t="s">
        <v>407</v>
      </c>
      <c r="M12" s="2">
        <f>INDEX(Bilan!$1:$300,O12,$N$1)</f>
        <v>0</v>
      </c>
      <c r="O12" s="2">
        <v>44</v>
      </c>
    </row>
    <row r="13" spans="1:15" x14ac:dyDescent="0.25">
      <c r="A13" s="2" t="s">
        <v>14</v>
      </c>
      <c r="B13" s="2" t="s">
        <v>408</v>
      </c>
      <c r="C13" s="2">
        <v>630</v>
      </c>
      <c r="D13" s="2">
        <v>866</v>
      </c>
      <c r="E13" s="2">
        <v>12</v>
      </c>
      <c r="F13" s="2">
        <v>12</v>
      </c>
      <c r="G13" s="2">
        <v>4</v>
      </c>
      <c r="H13" s="2">
        <v>5</v>
      </c>
      <c r="I13" s="2">
        <v>30</v>
      </c>
      <c r="J13" s="2">
        <f t="shared" ref="J13:J18" si="1">M13</f>
        <v>0</v>
      </c>
      <c r="K13" s="2">
        <f t="shared" si="0"/>
        <v>0</v>
      </c>
      <c r="L13" s="2" t="s">
        <v>409</v>
      </c>
      <c r="M13" s="2">
        <f>INDEX(Bilan!$1:$300,O13,$N$1)</f>
        <v>0</v>
      </c>
      <c r="O13" s="2">
        <v>42</v>
      </c>
    </row>
    <row r="14" spans="1:15" x14ac:dyDescent="0.25">
      <c r="A14" s="2" t="s">
        <v>14</v>
      </c>
      <c r="B14" s="2" t="s">
        <v>410</v>
      </c>
      <c r="C14" s="2">
        <v>500</v>
      </c>
      <c r="D14" s="2">
        <v>866</v>
      </c>
      <c r="E14" s="2">
        <v>22</v>
      </c>
      <c r="F14" s="2">
        <v>31</v>
      </c>
      <c r="G14" s="2">
        <v>8</v>
      </c>
      <c r="H14" s="2">
        <v>4</v>
      </c>
      <c r="I14" s="2">
        <v>10</v>
      </c>
      <c r="J14" s="2">
        <f t="shared" si="1"/>
        <v>0</v>
      </c>
      <c r="K14" s="2">
        <f t="shared" si="0"/>
        <v>0</v>
      </c>
      <c r="L14" s="2" t="s">
        <v>411</v>
      </c>
      <c r="M14" s="2">
        <f>INDEX(Bilan!$1:$300,O14,$N$1)</f>
        <v>0</v>
      </c>
      <c r="O14" s="2">
        <v>43</v>
      </c>
    </row>
    <row r="15" spans="1:15" x14ac:dyDescent="0.25">
      <c r="A15" s="2" t="s">
        <v>14</v>
      </c>
      <c r="B15" s="2" t="s">
        <v>412</v>
      </c>
      <c r="C15" s="2">
        <v>425</v>
      </c>
      <c r="D15" s="2">
        <v>866</v>
      </c>
      <c r="E15" s="2">
        <v>19</v>
      </c>
      <c r="F15" s="2">
        <v>23</v>
      </c>
      <c r="G15" s="2">
        <v>8</v>
      </c>
      <c r="H15" s="2">
        <v>3</v>
      </c>
      <c r="I15" s="2">
        <v>10</v>
      </c>
      <c r="J15" s="2">
        <f t="shared" si="1"/>
        <v>0</v>
      </c>
      <c r="K15" s="2">
        <f t="shared" si="0"/>
        <v>0</v>
      </c>
      <c r="L15" s="2" t="s">
        <v>413</v>
      </c>
      <c r="M15" s="2">
        <f>INDEX(Bilan!$1:$300,O15,$N$1)</f>
        <v>0</v>
      </c>
      <c r="O15" s="2">
        <v>47</v>
      </c>
    </row>
    <row r="16" spans="1:15" x14ac:dyDescent="0.25">
      <c r="A16" s="2" t="s">
        <v>14</v>
      </c>
      <c r="B16" s="2" t="s">
        <v>414</v>
      </c>
      <c r="C16" s="2">
        <v>335</v>
      </c>
      <c r="D16" s="2">
        <v>866</v>
      </c>
      <c r="E16" s="2">
        <v>24</v>
      </c>
      <c r="F16" s="2">
        <v>24</v>
      </c>
      <c r="G16" s="2">
        <v>8</v>
      </c>
      <c r="H16" s="2">
        <v>3</v>
      </c>
      <c r="I16" s="2">
        <v>10</v>
      </c>
      <c r="J16" s="2">
        <f t="shared" si="1"/>
        <v>0</v>
      </c>
      <c r="K16" s="2">
        <f t="shared" si="0"/>
        <v>0</v>
      </c>
      <c r="L16" s="2" t="s">
        <v>415</v>
      </c>
      <c r="M16" s="2">
        <f>INDEX(Bilan!$1:$300,O16,$N$1)</f>
        <v>0</v>
      </c>
      <c r="O16" s="2">
        <v>46</v>
      </c>
    </row>
    <row r="17" spans="1:15" x14ac:dyDescent="0.25">
      <c r="A17" s="2" t="s">
        <v>14</v>
      </c>
      <c r="B17" s="2" t="s">
        <v>416</v>
      </c>
      <c r="C17" s="2">
        <v>250</v>
      </c>
      <c r="D17" s="2">
        <v>866</v>
      </c>
      <c r="E17" s="2">
        <v>24</v>
      </c>
      <c r="F17" s="2">
        <v>24</v>
      </c>
      <c r="G17" s="2">
        <v>8</v>
      </c>
      <c r="H17" s="2">
        <v>3</v>
      </c>
      <c r="I17" s="2">
        <v>10</v>
      </c>
      <c r="J17" s="2">
        <f t="shared" si="1"/>
        <v>0</v>
      </c>
      <c r="K17" s="2">
        <f t="shared" si="0"/>
        <v>0</v>
      </c>
      <c r="L17" s="2" t="s">
        <v>417</v>
      </c>
      <c r="M17" s="2">
        <f>INDEX(Bilan!$1:$300,O17,$N$1)</f>
        <v>0</v>
      </c>
      <c r="O17" s="2">
        <v>45</v>
      </c>
    </row>
    <row r="18" spans="1:15" x14ac:dyDescent="0.25">
      <c r="A18" s="2" t="s">
        <v>14</v>
      </c>
      <c r="B18" s="2" t="s">
        <v>418</v>
      </c>
      <c r="C18" s="2">
        <v>250</v>
      </c>
      <c r="D18" s="2">
        <v>920</v>
      </c>
      <c r="E18" s="2">
        <v>40</v>
      </c>
      <c r="F18" s="2">
        <v>74</v>
      </c>
      <c r="G18" s="2">
        <v>0</v>
      </c>
      <c r="H18" s="2">
        <v>21</v>
      </c>
      <c r="I18" s="2">
        <v>1</v>
      </c>
      <c r="J18" s="2">
        <f t="shared" si="1"/>
        <v>0</v>
      </c>
      <c r="K18" s="2">
        <f t="shared" si="0"/>
        <v>0</v>
      </c>
      <c r="L18" s="2" t="s">
        <v>419</v>
      </c>
      <c r="M18" s="2">
        <f>INDEX(Bilan!$1:$300,O18,$N$1)</f>
        <v>0</v>
      </c>
      <c r="O18" s="2">
        <v>48</v>
      </c>
    </row>
    <row r="19" spans="1:15" x14ac:dyDescent="0.25">
      <c r="A19" s="2" t="s">
        <v>420</v>
      </c>
      <c r="B19" s="2" t="s">
        <v>421</v>
      </c>
      <c r="C19" s="2">
        <v>150</v>
      </c>
      <c r="D19" s="2">
        <v>960</v>
      </c>
      <c r="E19" s="2">
        <v>207</v>
      </c>
      <c r="F19" s="2">
        <v>131</v>
      </c>
      <c r="G19" s="2">
        <v>0</v>
      </c>
      <c r="H19" s="2">
        <v>1</v>
      </c>
      <c r="I19" s="2">
        <v>1</v>
      </c>
      <c r="L19" s="2" t="s">
        <v>422</v>
      </c>
    </row>
    <row r="20" spans="1:15" x14ac:dyDescent="0.25">
      <c r="A20" s="2" t="s">
        <v>65</v>
      </c>
      <c r="B20" s="2" t="s">
        <v>423</v>
      </c>
      <c r="C20" s="2">
        <v>440</v>
      </c>
      <c r="D20" s="2">
        <v>1061</v>
      </c>
      <c r="E20" s="2">
        <v>207</v>
      </c>
      <c r="F20" s="2">
        <v>131</v>
      </c>
      <c r="G20" s="2">
        <v>0</v>
      </c>
      <c r="H20" s="2">
        <v>1</v>
      </c>
      <c r="I20" s="2">
        <v>1</v>
      </c>
      <c r="L20" s="2" t="s">
        <v>424</v>
      </c>
    </row>
    <row r="21" spans="1:15" x14ac:dyDescent="0.25">
      <c r="A21" s="2" t="s">
        <v>65</v>
      </c>
      <c r="B21" s="2" t="s">
        <v>425</v>
      </c>
      <c r="C21" s="2">
        <v>450</v>
      </c>
      <c r="D21" s="2">
        <v>1062</v>
      </c>
      <c r="E21" s="2">
        <v>12</v>
      </c>
      <c r="F21" s="2">
        <v>12</v>
      </c>
      <c r="G21" s="2">
        <v>4</v>
      </c>
      <c r="H21" s="2">
        <v>5</v>
      </c>
      <c r="I21" s="2">
        <v>30</v>
      </c>
      <c r="J21" s="2">
        <f t="shared" ref="J21:J22" si="2">M21</f>
        <v>0</v>
      </c>
      <c r="K21" s="2">
        <f t="shared" si="0"/>
        <v>0</v>
      </c>
      <c r="L21" s="2" t="s">
        <v>426</v>
      </c>
      <c r="M21" s="2">
        <f>INDEX(Bilan!$1:$300,O21,$N$1)</f>
        <v>0</v>
      </c>
      <c r="O21" s="2">
        <v>115</v>
      </c>
    </row>
    <row r="22" spans="1:15" x14ac:dyDescent="0.25">
      <c r="A22" s="2" t="s">
        <v>65</v>
      </c>
      <c r="B22" s="2" t="s">
        <v>427</v>
      </c>
      <c r="C22" s="2">
        <v>350</v>
      </c>
      <c r="D22" s="2">
        <v>1062</v>
      </c>
      <c r="E22" s="2">
        <v>12</v>
      </c>
      <c r="F22" s="2">
        <v>12</v>
      </c>
      <c r="G22" s="2">
        <v>4</v>
      </c>
      <c r="H22" s="2">
        <v>5</v>
      </c>
      <c r="I22" s="2">
        <v>30</v>
      </c>
      <c r="J22" s="2">
        <f t="shared" si="2"/>
        <v>0</v>
      </c>
      <c r="K22" s="2">
        <f t="shared" si="0"/>
        <v>0</v>
      </c>
      <c r="L22" s="2" t="s">
        <v>428</v>
      </c>
      <c r="M22" s="2">
        <f>INDEX(Bilan!$1:$300,O22,$N$1)</f>
        <v>0</v>
      </c>
      <c r="O22" s="2">
        <v>114</v>
      </c>
    </row>
    <row r="23" spans="1:15" x14ac:dyDescent="0.25">
      <c r="A23" s="2" t="s">
        <v>39</v>
      </c>
      <c r="B23" s="2" t="s">
        <v>429</v>
      </c>
      <c r="C23" s="2">
        <v>643</v>
      </c>
      <c r="D23" s="2">
        <v>1100</v>
      </c>
      <c r="E23" s="2">
        <v>207</v>
      </c>
      <c r="F23" s="2">
        <v>131</v>
      </c>
      <c r="G23" s="2">
        <v>0</v>
      </c>
      <c r="H23" s="2">
        <v>1</v>
      </c>
      <c r="I23" s="2">
        <v>1</v>
      </c>
      <c r="L23" s="2" t="s">
        <v>430</v>
      </c>
    </row>
    <row r="24" spans="1:15" x14ac:dyDescent="0.25">
      <c r="A24" s="2" t="s">
        <v>39</v>
      </c>
      <c r="B24" s="2" t="s">
        <v>431</v>
      </c>
      <c r="C24" s="2">
        <v>748</v>
      </c>
      <c r="D24" s="2">
        <v>1101</v>
      </c>
      <c r="E24" s="2">
        <v>12</v>
      </c>
      <c r="F24" s="2">
        <v>12</v>
      </c>
      <c r="G24" s="2">
        <v>4</v>
      </c>
      <c r="H24" s="2">
        <v>5</v>
      </c>
      <c r="I24" s="2">
        <v>30</v>
      </c>
      <c r="J24" s="2">
        <f t="shared" ref="J24:J25" si="3">M24</f>
        <v>0</v>
      </c>
      <c r="K24" s="2">
        <f t="shared" si="0"/>
        <v>0</v>
      </c>
      <c r="L24" s="2" t="s">
        <v>432</v>
      </c>
      <c r="M24" s="2">
        <f>INDEX(Bilan!$1:$300,O24,$N$1)</f>
        <v>0</v>
      </c>
      <c r="O24" s="2">
        <v>63</v>
      </c>
    </row>
    <row r="25" spans="1:15" x14ac:dyDescent="0.25">
      <c r="A25" s="2" t="s">
        <v>39</v>
      </c>
      <c r="B25" s="2" t="s">
        <v>433</v>
      </c>
      <c r="C25" s="2">
        <v>648</v>
      </c>
      <c r="D25" s="2">
        <v>1101</v>
      </c>
      <c r="E25" s="2">
        <v>12</v>
      </c>
      <c r="F25" s="2">
        <v>12</v>
      </c>
      <c r="G25" s="2">
        <v>4</v>
      </c>
      <c r="H25" s="2">
        <v>5</v>
      </c>
      <c r="I25" s="2">
        <v>30</v>
      </c>
      <c r="J25" s="2">
        <f t="shared" si="3"/>
        <v>0</v>
      </c>
      <c r="K25" s="2">
        <f t="shared" si="0"/>
        <v>0</v>
      </c>
      <c r="L25" s="2" t="s">
        <v>434</v>
      </c>
      <c r="M25" s="2">
        <f>INDEX(Bilan!$1:$300,O25,$N$1)</f>
        <v>0</v>
      </c>
      <c r="O25" s="2">
        <v>65</v>
      </c>
    </row>
    <row r="26" spans="1:15" x14ac:dyDescent="0.25">
      <c r="A26" s="2" t="s">
        <v>79</v>
      </c>
      <c r="B26" s="2" t="s">
        <v>435</v>
      </c>
      <c r="C26" s="2">
        <v>1408</v>
      </c>
      <c r="D26" s="2">
        <v>1146</v>
      </c>
      <c r="E26" s="2">
        <v>207</v>
      </c>
      <c r="F26" s="2">
        <v>131</v>
      </c>
      <c r="G26" s="2">
        <v>0</v>
      </c>
      <c r="H26" s="2">
        <v>1</v>
      </c>
      <c r="I26" s="2">
        <v>1</v>
      </c>
      <c r="L26" s="2" t="s">
        <v>436</v>
      </c>
    </row>
    <row r="27" spans="1:15" x14ac:dyDescent="0.25">
      <c r="A27" s="2" t="s">
        <v>79</v>
      </c>
      <c r="B27" s="2" t="s">
        <v>437</v>
      </c>
      <c r="C27" s="2">
        <v>1513</v>
      </c>
      <c r="D27" s="2">
        <v>1147</v>
      </c>
      <c r="E27" s="2">
        <v>12</v>
      </c>
      <c r="F27" s="2">
        <v>12</v>
      </c>
      <c r="G27" s="2">
        <v>4</v>
      </c>
      <c r="H27" s="2">
        <v>5</v>
      </c>
      <c r="I27" s="2">
        <v>30</v>
      </c>
      <c r="J27" s="2">
        <f t="shared" ref="J27:J33" si="4">M27</f>
        <v>0</v>
      </c>
      <c r="K27" s="2">
        <f t="shared" si="0"/>
        <v>0</v>
      </c>
      <c r="L27" s="2" t="s">
        <v>438</v>
      </c>
      <c r="M27" s="2">
        <f>INDEX(Bilan!$1:$300,O27,$N$1)</f>
        <v>0</v>
      </c>
      <c r="O27" s="2">
        <v>187</v>
      </c>
    </row>
    <row r="28" spans="1:15" x14ac:dyDescent="0.25">
      <c r="A28" s="2" t="s">
        <v>79</v>
      </c>
      <c r="B28" s="2" t="s">
        <v>439</v>
      </c>
      <c r="C28" s="2">
        <v>1413</v>
      </c>
      <c r="D28" s="2">
        <v>1147</v>
      </c>
      <c r="E28" s="2">
        <v>12</v>
      </c>
      <c r="F28" s="2">
        <v>12</v>
      </c>
      <c r="G28" s="2">
        <v>4</v>
      </c>
      <c r="H28" s="2">
        <v>5</v>
      </c>
      <c r="I28" s="2">
        <v>30</v>
      </c>
      <c r="J28" s="2">
        <f t="shared" si="4"/>
        <v>0</v>
      </c>
      <c r="K28" s="2">
        <f t="shared" si="0"/>
        <v>0</v>
      </c>
      <c r="L28" s="2" t="s">
        <v>440</v>
      </c>
      <c r="M28" s="2">
        <f>INDEX(Bilan!$1:$300,O28,$N$1)</f>
        <v>0</v>
      </c>
      <c r="O28" s="2">
        <v>186</v>
      </c>
    </row>
    <row r="29" spans="1:15" x14ac:dyDescent="0.25">
      <c r="A29" s="2" t="s">
        <v>39</v>
      </c>
      <c r="B29" s="2" t="s">
        <v>441</v>
      </c>
      <c r="C29" s="2">
        <v>750</v>
      </c>
      <c r="D29" s="2">
        <v>1200</v>
      </c>
      <c r="E29" s="2">
        <v>22</v>
      </c>
      <c r="F29" s="2">
        <v>31</v>
      </c>
      <c r="G29" s="2">
        <v>8</v>
      </c>
      <c r="H29" s="2">
        <v>4</v>
      </c>
      <c r="I29" s="2">
        <v>10</v>
      </c>
      <c r="J29" s="2">
        <f t="shared" si="4"/>
        <v>0</v>
      </c>
      <c r="K29" s="2">
        <f t="shared" si="0"/>
        <v>0</v>
      </c>
      <c r="L29" s="2" t="s">
        <v>442</v>
      </c>
      <c r="M29" s="2">
        <f>INDEX(Bilan!$1:$300,O29,$N$1)</f>
        <v>0</v>
      </c>
      <c r="O29" s="2">
        <v>64</v>
      </c>
    </row>
    <row r="30" spans="1:15" x14ac:dyDescent="0.25">
      <c r="A30" s="2" t="s">
        <v>39</v>
      </c>
      <c r="B30" s="2" t="s">
        <v>443</v>
      </c>
      <c r="C30" s="2">
        <v>675</v>
      </c>
      <c r="D30" s="2">
        <v>1200</v>
      </c>
      <c r="E30" s="2">
        <v>19</v>
      </c>
      <c r="F30" s="2">
        <v>23</v>
      </c>
      <c r="G30" s="2">
        <v>8</v>
      </c>
      <c r="H30" s="2">
        <v>3</v>
      </c>
      <c r="I30" s="2">
        <v>10</v>
      </c>
      <c r="J30" s="2">
        <f t="shared" si="4"/>
        <v>0</v>
      </c>
      <c r="K30" s="2">
        <f t="shared" si="0"/>
        <v>0</v>
      </c>
      <c r="L30" s="2" t="s">
        <v>444</v>
      </c>
      <c r="M30" s="2">
        <f>INDEX(Bilan!$1:$300,O30,$N$1)</f>
        <v>0</v>
      </c>
      <c r="O30" s="2">
        <v>68</v>
      </c>
    </row>
    <row r="31" spans="1:15" x14ac:dyDescent="0.25">
      <c r="A31" s="2" t="s">
        <v>39</v>
      </c>
      <c r="B31" s="2" t="s">
        <v>445</v>
      </c>
      <c r="C31" s="2">
        <v>600</v>
      </c>
      <c r="D31" s="2">
        <v>1200</v>
      </c>
      <c r="E31" s="2">
        <v>19</v>
      </c>
      <c r="F31" s="2">
        <v>23</v>
      </c>
      <c r="G31" s="2">
        <v>8</v>
      </c>
      <c r="H31" s="2">
        <v>3</v>
      </c>
      <c r="I31" s="2">
        <v>10</v>
      </c>
      <c r="J31" s="2">
        <f t="shared" si="4"/>
        <v>0</v>
      </c>
      <c r="K31" s="2">
        <f t="shared" si="0"/>
        <v>0</v>
      </c>
      <c r="L31" s="2" t="s">
        <v>446</v>
      </c>
      <c r="M31" s="2">
        <f>INDEX(Bilan!$1:$300,O31,$N$1)</f>
        <v>0</v>
      </c>
      <c r="O31" s="2">
        <v>67</v>
      </c>
    </row>
    <row r="32" spans="1:15" x14ac:dyDescent="0.25">
      <c r="A32" s="2" t="s">
        <v>39</v>
      </c>
      <c r="B32" s="2" t="s">
        <v>447</v>
      </c>
      <c r="C32" s="2">
        <v>510</v>
      </c>
      <c r="D32" s="2">
        <v>1200</v>
      </c>
      <c r="E32" s="2">
        <v>24</v>
      </c>
      <c r="F32" s="2">
        <v>24</v>
      </c>
      <c r="G32" s="2">
        <v>8</v>
      </c>
      <c r="H32" s="2">
        <v>3</v>
      </c>
      <c r="I32" s="2">
        <v>10</v>
      </c>
      <c r="J32" s="2">
        <f t="shared" si="4"/>
        <v>0</v>
      </c>
      <c r="K32" s="2">
        <f t="shared" si="0"/>
        <v>0</v>
      </c>
      <c r="L32" s="2" t="s">
        <v>448</v>
      </c>
      <c r="M32" s="2">
        <f>INDEX(Bilan!$1:$300,O32,$N$1)</f>
        <v>0</v>
      </c>
      <c r="O32" s="2">
        <v>66</v>
      </c>
    </row>
    <row r="33" spans="1:15" x14ac:dyDescent="0.25">
      <c r="A33" s="2" t="s">
        <v>39</v>
      </c>
      <c r="B33" s="2" t="s">
        <v>449</v>
      </c>
      <c r="C33" s="2">
        <v>450</v>
      </c>
      <c r="D33" s="2">
        <v>1240</v>
      </c>
      <c r="E33" s="2">
        <v>40</v>
      </c>
      <c r="F33" s="2">
        <v>74</v>
      </c>
      <c r="G33" s="2">
        <v>0</v>
      </c>
      <c r="H33" s="2">
        <v>21</v>
      </c>
      <c r="I33" s="2">
        <v>1</v>
      </c>
      <c r="J33" s="2">
        <f t="shared" si="4"/>
        <v>0</v>
      </c>
      <c r="K33" s="2">
        <f t="shared" si="0"/>
        <v>0</v>
      </c>
      <c r="L33" s="2" t="s">
        <v>450</v>
      </c>
      <c r="M33" s="2">
        <f>INDEX(Bilan!$1:$300,O33,$N$1)</f>
        <v>0</v>
      </c>
      <c r="O33" s="2">
        <v>69</v>
      </c>
    </row>
    <row r="34" spans="1:15" x14ac:dyDescent="0.25">
      <c r="A34" s="2" t="s">
        <v>74</v>
      </c>
      <c r="B34" s="2" t="s">
        <v>451</v>
      </c>
      <c r="C34" s="2">
        <v>1385</v>
      </c>
      <c r="D34" s="2">
        <v>524</v>
      </c>
      <c r="E34" s="2">
        <v>207</v>
      </c>
      <c r="F34" s="2">
        <v>131</v>
      </c>
      <c r="G34" s="2">
        <v>0</v>
      </c>
      <c r="H34" s="2">
        <v>1</v>
      </c>
      <c r="I34" s="2">
        <v>1</v>
      </c>
      <c r="L34" s="2" t="s">
        <v>452</v>
      </c>
    </row>
    <row r="35" spans="1:15" x14ac:dyDescent="0.25">
      <c r="A35" s="2" t="s">
        <v>74</v>
      </c>
      <c r="B35" s="2" t="s">
        <v>453</v>
      </c>
      <c r="C35" s="2">
        <v>1490</v>
      </c>
      <c r="D35" s="2">
        <v>525</v>
      </c>
      <c r="E35" s="2">
        <v>12</v>
      </c>
      <c r="F35" s="2">
        <v>12</v>
      </c>
      <c r="G35" s="2">
        <v>4</v>
      </c>
      <c r="H35" s="2">
        <v>5</v>
      </c>
      <c r="I35" s="2">
        <v>30</v>
      </c>
      <c r="J35" s="2">
        <f t="shared" ref="J35:J53" si="5">M35</f>
        <v>0</v>
      </c>
      <c r="K35" s="2">
        <f t="shared" si="0"/>
        <v>0</v>
      </c>
      <c r="L35" s="2" t="s">
        <v>454</v>
      </c>
      <c r="M35" s="2">
        <f>INDEX(Bilan!$1:$300,O35,$N$1)</f>
        <v>0</v>
      </c>
      <c r="O35" s="2">
        <v>127</v>
      </c>
    </row>
    <row r="36" spans="1:15" x14ac:dyDescent="0.25">
      <c r="A36" s="2" t="s">
        <v>74</v>
      </c>
      <c r="B36" s="2" t="s">
        <v>455</v>
      </c>
      <c r="C36" s="2">
        <v>1390</v>
      </c>
      <c r="D36" s="2">
        <v>525</v>
      </c>
      <c r="E36" s="2">
        <v>12</v>
      </c>
      <c r="F36" s="2">
        <v>12</v>
      </c>
      <c r="G36" s="2">
        <v>4</v>
      </c>
      <c r="H36" s="2">
        <v>5</v>
      </c>
      <c r="I36" s="2">
        <v>30</v>
      </c>
      <c r="J36" s="2">
        <f t="shared" si="5"/>
        <v>0</v>
      </c>
      <c r="K36" s="2">
        <f t="shared" si="0"/>
        <v>0</v>
      </c>
      <c r="L36" s="2" t="s">
        <v>456</v>
      </c>
      <c r="M36" s="2">
        <f>INDEX(Bilan!$1:$300,O36,$N$1)</f>
        <v>0</v>
      </c>
      <c r="O36" s="2">
        <v>126</v>
      </c>
    </row>
    <row r="37" spans="1:15" x14ac:dyDescent="0.25">
      <c r="A37" s="2" t="s">
        <v>78</v>
      </c>
      <c r="B37" s="2" t="s">
        <v>457</v>
      </c>
      <c r="C37" s="2">
        <v>1760</v>
      </c>
      <c r="D37" s="2">
        <v>1302</v>
      </c>
      <c r="E37" s="2">
        <v>207</v>
      </c>
      <c r="F37" s="2">
        <v>131</v>
      </c>
      <c r="G37" s="2">
        <v>0</v>
      </c>
      <c r="H37" s="2">
        <v>1</v>
      </c>
      <c r="I37" s="2">
        <v>1</v>
      </c>
      <c r="L37" s="2" t="s">
        <v>458</v>
      </c>
    </row>
    <row r="38" spans="1:15" x14ac:dyDescent="0.25">
      <c r="A38" s="2" t="s">
        <v>78</v>
      </c>
      <c r="B38" s="2" t="s">
        <v>459</v>
      </c>
      <c r="C38" s="2">
        <v>1865</v>
      </c>
      <c r="D38" s="2">
        <v>1303</v>
      </c>
      <c r="E38" s="2">
        <v>12</v>
      </c>
      <c r="F38" s="2">
        <v>12</v>
      </c>
      <c r="G38" s="2">
        <v>4</v>
      </c>
      <c r="H38" s="2">
        <v>5</v>
      </c>
      <c r="I38" s="2">
        <v>30</v>
      </c>
      <c r="J38" s="2">
        <f t="shared" si="5"/>
        <v>0</v>
      </c>
      <c r="K38" s="2">
        <f t="shared" si="0"/>
        <v>0</v>
      </c>
      <c r="L38" s="2" t="s">
        <v>460</v>
      </c>
      <c r="M38" s="2">
        <f>INDEX(Bilan!$1:$300,O38,$N$1)</f>
        <v>0</v>
      </c>
      <c r="O38" s="2">
        <v>175</v>
      </c>
    </row>
    <row r="39" spans="1:15" x14ac:dyDescent="0.25">
      <c r="A39" s="2" t="s">
        <v>78</v>
      </c>
      <c r="B39" s="2" t="s">
        <v>461</v>
      </c>
      <c r="C39" s="2">
        <v>1765</v>
      </c>
      <c r="D39" s="2">
        <v>1303</v>
      </c>
      <c r="E39" s="2">
        <v>12</v>
      </c>
      <c r="F39" s="2">
        <v>12</v>
      </c>
      <c r="G39" s="2">
        <v>4</v>
      </c>
      <c r="H39" s="2">
        <v>5</v>
      </c>
      <c r="I39" s="2">
        <v>30</v>
      </c>
      <c r="J39" s="2">
        <f t="shared" si="5"/>
        <v>0</v>
      </c>
      <c r="K39" s="2">
        <f t="shared" si="0"/>
        <v>0</v>
      </c>
      <c r="L39" s="2" t="s">
        <v>462</v>
      </c>
      <c r="M39" s="2">
        <f>INDEX(Bilan!$1:$300,O39,$N$1)</f>
        <v>0</v>
      </c>
      <c r="O39" s="2">
        <v>174</v>
      </c>
    </row>
    <row r="40" spans="1:15" x14ac:dyDescent="0.25">
      <c r="A40" s="2" t="s">
        <v>76</v>
      </c>
      <c r="B40" s="2" t="s">
        <v>463</v>
      </c>
      <c r="C40" s="2">
        <v>865</v>
      </c>
      <c r="D40" s="2">
        <v>1306</v>
      </c>
      <c r="E40" s="2">
        <v>207</v>
      </c>
      <c r="F40" s="2">
        <v>131</v>
      </c>
      <c r="G40" s="2">
        <v>0</v>
      </c>
      <c r="H40" s="2">
        <v>1</v>
      </c>
      <c r="I40" s="2">
        <v>1</v>
      </c>
      <c r="L40" s="2" t="s">
        <v>464</v>
      </c>
    </row>
    <row r="41" spans="1:15" x14ac:dyDescent="0.25">
      <c r="A41" s="2" t="s">
        <v>76</v>
      </c>
      <c r="B41" s="2" t="s">
        <v>465</v>
      </c>
      <c r="C41" s="2">
        <v>970</v>
      </c>
      <c r="D41" s="2">
        <v>1307</v>
      </c>
      <c r="E41" s="2">
        <v>12</v>
      </c>
      <c r="F41" s="2">
        <v>12</v>
      </c>
      <c r="G41" s="2">
        <v>4</v>
      </c>
      <c r="H41" s="2">
        <v>5</v>
      </c>
      <c r="I41" s="2">
        <v>30</v>
      </c>
      <c r="J41" s="2">
        <f t="shared" si="5"/>
        <v>0</v>
      </c>
      <c r="K41" s="2">
        <f t="shared" si="0"/>
        <v>0</v>
      </c>
      <c r="L41" s="2" t="s">
        <v>466</v>
      </c>
      <c r="M41" s="2">
        <f>INDEX(Bilan!$1:$300,O41,$N$1)</f>
        <v>0</v>
      </c>
      <c r="O41" s="2">
        <v>151</v>
      </c>
    </row>
    <row r="42" spans="1:15" x14ac:dyDescent="0.25">
      <c r="A42" s="2" t="s">
        <v>76</v>
      </c>
      <c r="B42" s="2" t="s">
        <v>467</v>
      </c>
      <c r="C42" s="2">
        <v>870</v>
      </c>
      <c r="D42" s="2">
        <v>1307</v>
      </c>
      <c r="E42" s="2">
        <v>12</v>
      </c>
      <c r="F42" s="2">
        <v>12</v>
      </c>
      <c r="G42" s="2">
        <v>4</v>
      </c>
      <c r="H42" s="2">
        <v>5</v>
      </c>
      <c r="I42" s="2">
        <v>30</v>
      </c>
      <c r="J42" s="2">
        <f t="shared" si="5"/>
        <v>0</v>
      </c>
      <c r="K42" s="2">
        <f t="shared" si="0"/>
        <v>0</v>
      </c>
      <c r="L42" s="2" t="s">
        <v>468</v>
      </c>
      <c r="M42" s="2">
        <f>INDEX(Bilan!$1:$300,O42,$N$1)</f>
        <v>0</v>
      </c>
      <c r="O42" s="2">
        <v>150</v>
      </c>
    </row>
    <row r="43" spans="1:15" x14ac:dyDescent="0.25">
      <c r="A43" s="2" t="s">
        <v>469</v>
      </c>
      <c r="B43" s="2" t="s">
        <v>470</v>
      </c>
      <c r="C43" s="2">
        <v>5</v>
      </c>
      <c r="D43" s="2">
        <v>1320</v>
      </c>
      <c r="E43" s="2">
        <v>207</v>
      </c>
      <c r="F43" s="2">
        <v>131</v>
      </c>
      <c r="G43" s="2">
        <v>0</v>
      </c>
      <c r="H43" s="2">
        <v>1</v>
      </c>
      <c r="I43" s="2">
        <v>1</v>
      </c>
      <c r="L43" s="2" t="s">
        <v>471</v>
      </c>
    </row>
    <row r="44" spans="1:15" x14ac:dyDescent="0.25">
      <c r="A44" s="2" t="s">
        <v>77</v>
      </c>
      <c r="B44" s="2" t="s">
        <v>472</v>
      </c>
      <c r="C44" s="2">
        <v>1003</v>
      </c>
      <c r="D44" s="2">
        <v>1510</v>
      </c>
      <c r="E44" s="2">
        <v>207</v>
      </c>
      <c r="F44" s="2">
        <v>131</v>
      </c>
      <c r="G44" s="2">
        <v>0</v>
      </c>
      <c r="H44" s="2">
        <v>1</v>
      </c>
      <c r="I44" s="2">
        <v>1</v>
      </c>
      <c r="L44" s="2" t="s">
        <v>473</v>
      </c>
    </row>
    <row r="45" spans="1:15" x14ac:dyDescent="0.25">
      <c r="A45" s="2" t="s">
        <v>77</v>
      </c>
      <c r="B45" s="2" t="s">
        <v>474</v>
      </c>
      <c r="C45" s="2">
        <v>1108</v>
      </c>
      <c r="D45" s="2">
        <v>1511</v>
      </c>
      <c r="E45" s="2">
        <v>12</v>
      </c>
      <c r="F45" s="2">
        <v>12</v>
      </c>
      <c r="G45" s="2">
        <v>4</v>
      </c>
      <c r="H45" s="2">
        <v>5</v>
      </c>
      <c r="I45" s="2">
        <v>30</v>
      </c>
      <c r="J45" s="2">
        <f t="shared" si="5"/>
        <v>0</v>
      </c>
      <c r="K45" s="2">
        <f t="shared" si="0"/>
        <v>0</v>
      </c>
      <c r="L45" s="2" t="s">
        <v>475</v>
      </c>
      <c r="M45" s="2">
        <f>INDEX(Bilan!$1:$300,O45,$N$1)</f>
        <v>0</v>
      </c>
      <c r="O45" s="2">
        <v>163</v>
      </c>
    </row>
    <row r="46" spans="1:15" x14ac:dyDescent="0.25">
      <c r="A46" s="2" t="s">
        <v>77</v>
      </c>
      <c r="B46" s="2" t="s">
        <v>476</v>
      </c>
      <c r="C46" s="2">
        <v>1008</v>
      </c>
      <c r="D46" s="2">
        <v>1511</v>
      </c>
      <c r="E46" s="2">
        <v>12</v>
      </c>
      <c r="F46" s="2">
        <v>12</v>
      </c>
      <c r="G46" s="2">
        <v>4</v>
      </c>
      <c r="H46" s="2">
        <v>5</v>
      </c>
      <c r="I46" s="2">
        <v>30</v>
      </c>
      <c r="J46" s="2">
        <f t="shared" si="5"/>
        <v>0</v>
      </c>
      <c r="K46" s="2">
        <f t="shared" si="0"/>
        <v>0</v>
      </c>
      <c r="L46" s="2" t="s">
        <v>477</v>
      </c>
      <c r="M46" s="2">
        <f>INDEX(Bilan!$1:$300,O46,$N$1)</f>
        <v>0</v>
      </c>
      <c r="O46" s="2">
        <v>162</v>
      </c>
    </row>
    <row r="47" spans="1:15" x14ac:dyDescent="0.25">
      <c r="A47" s="2" t="s">
        <v>75</v>
      </c>
      <c r="B47" s="2" t="s">
        <v>478</v>
      </c>
      <c r="C47" s="2">
        <v>120</v>
      </c>
      <c r="D47" s="2">
        <v>1569</v>
      </c>
      <c r="E47" s="2">
        <v>207</v>
      </c>
      <c r="F47" s="2">
        <v>131</v>
      </c>
      <c r="G47" s="2">
        <v>0</v>
      </c>
      <c r="H47" s="2">
        <v>1</v>
      </c>
      <c r="I47" s="2">
        <v>1</v>
      </c>
      <c r="L47" s="2" t="s">
        <v>479</v>
      </c>
    </row>
    <row r="48" spans="1:15" x14ac:dyDescent="0.25">
      <c r="A48" s="2" t="s">
        <v>85</v>
      </c>
      <c r="B48" s="2" t="s">
        <v>480</v>
      </c>
      <c r="C48" s="2">
        <v>2180</v>
      </c>
      <c r="D48" s="2">
        <v>1570</v>
      </c>
      <c r="E48" s="2">
        <v>207</v>
      </c>
      <c r="F48" s="2">
        <v>131</v>
      </c>
      <c r="G48" s="2">
        <v>0</v>
      </c>
      <c r="H48" s="2">
        <v>1</v>
      </c>
      <c r="I48" s="2">
        <v>1</v>
      </c>
      <c r="L48" s="2" t="s">
        <v>481</v>
      </c>
    </row>
    <row r="49" spans="1:15" x14ac:dyDescent="0.25">
      <c r="A49" s="2" t="s">
        <v>85</v>
      </c>
      <c r="B49" s="2" t="s">
        <v>482</v>
      </c>
      <c r="C49" s="2">
        <v>2100</v>
      </c>
      <c r="D49" s="2">
        <v>1570</v>
      </c>
      <c r="E49" s="2">
        <v>24</v>
      </c>
      <c r="F49" s="2">
        <v>24</v>
      </c>
      <c r="G49" s="2">
        <v>8</v>
      </c>
      <c r="H49" s="2">
        <v>3</v>
      </c>
      <c r="I49" s="2">
        <v>10</v>
      </c>
      <c r="J49" s="2">
        <f t="shared" si="5"/>
        <v>0</v>
      </c>
      <c r="K49" s="2">
        <f t="shared" si="0"/>
        <v>0</v>
      </c>
      <c r="L49" s="2" t="s">
        <v>483</v>
      </c>
      <c r="M49" s="2">
        <f>INDEX(Bilan!$1:$300,O49,$N$1)</f>
        <v>0</v>
      </c>
      <c r="O49" s="2">
        <v>12</v>
      </c>
    </row>
    <row r="50" spans="1:15" x14ac:dyDescent="0.25">
      <c r="A50" s="2" t="s">
        <v>85</v>
      </c>
      <c r="B50" s="2" t="s">
        <v>484</v>
      </c>
      <c r="C50" s="2">
        <v>2015</v>
      </c>
      <c r="D50" s="2">
        <v>1570</v>
      </c>
      <c r="E50" s="2">
        <v>24</v>
      </c>
      <c r="F50" s="2">
        <v>24</v>
      </c>
      <c r="G50" s="2">
        <v>8</v>
      </c>
      <c r="H50" s="2">
        <v>3</v>
      </c>
      <c r="I50" s="2">
        <v>10</v>
      </c>
      <c r="J50" s="2">
        <f t="shared" si="5"/>
        <v>0</v>
      </c>
      <c r="K50" s="2">
        <f t="shared" si="0"/>
        <v>0</v>
      </c>
      <c r="L50" s="2" t="s">
        <v>485</v>
      </c>
      <c r="M50" s="2">
        <f>INDEX(Bilan!$1:$300,O50,$N$1)</f>
        <v>0</v>
      </c>
      <c r="O50" s="2">
        <v>11</v>
      </c>
    </row>
    <row r="51" spans="1:15" x14ac:dyDescent="0.25">
      <c r="A51" s="2" t="s">
        <v>75</v>
      </c>
      <c r="B51" s="2" t="s">
        <v>486</v>
      </c>
      <c r="C51" s="2">
        <v>225</v>
      </c>
      <c r="D51" s="2">
        <v>1570</v>
      </c>
      <c r="E51" s="2">
        <v>12</v>
      </c>
      <c r="F51" s="2">
        <v>12</v>
      </c>
      <c r="G51" s="2">
        <v>4</v>
      </c>
      <c r="H51" s="2">
        <v>5</v>
      </c>
      <c r="I51" s="2">
        <v>30</v>
      </c>
      <c r="J51" s="2">
        <f t="shared" si="5"/>
        <v>0</v>
      </c>
      <c r="K51" s="2">
        <f t="shared" si="0"/>
        <v>0</v>
      </c>
      <c r="L51" s="2" t="s">
        <v>487</v>
      </c>
      <c r="M51" s="2">
        <f>INDEX(Bilan!$1:$300,O51,$N$1)</f>
        <v>0</v>
      </c>
      <c r="O51" s="2">
        <v>139</v>
      </c>
    </row>
    <row r="52" spans="1:15" x14ac:dyDescent="0.25">
      <c r="A52" s="2" t="s">
        <v>75</v>
      </c>
      <c r="B52" s="2" t="s">
        <v>488</v>
      </c>
      <c r="C52" s="2">
        <v>125</v>
      </c>
      <c r="D52" s="2">
        <v>1570</v>
      </c>
      <c r="E52" s="2">
        <v>12</v>
      </c>
      <c r="F52" s="2">
        <v>12</v>
      </c>
      <c r="G52" s="2">
        <v>4</v>
      </c>
      <c r="H52" s="2">
        <v>5</v>
      </c>
      <c r="I52" s="2">
        <v>30</v>
      </c>
      <c r="J52" s="2">
        <f t="shared" si="5"/>
        <v>0</v>
      </c>
      <c r="K52" s="2">
        <f t="shared" si="0"/>
        <v>0</v>
      </c>
      <c r="L52" s="2" t="s">
        <v>489</v>
      </c>
      <c r="M52" s="2">
        <f>INDEX(Bilan!$1:$300,O52,$N$1)</f>
        <v>0</v>
      </c>
      <c r="O52" s="2">
        <v>138</v>
      </c>
    </row>
    <row r="53" spans="1:15" x14ac:dyDescent="0.25">
      <c r="A53" s="2" t="s">
        <v>85</v>
      </c>
      <c r="B53" s="2" t="s">
        <v>490</v>
      </c>
      <c r="C53" s="2">
        <v>1900</v>
      </c>
      <c r="D53" s="2">
        <v>1640</v>
      </c>
      <c r="E53" s="2">
        <v>40</v>
      </c>
      <c r="F53" s="2">
        <v>74</v>
      </c>
      <c r="G53" s="2">
        <v>0</v>
      </c>
      <c r="H53" s="2">
        <v>21</v>
      </c>
      <c r="I53" s="2">
        <v>1</v>
      </c>
      <c r="J53" s="2">
        <f t="shared" si="5"/>
        <v>0</v>
      </c>
      <c r="K53" s="2">
        <f t="shared" si="0"/>
        <v>0</v>
      </c>
      <c r="L53" s="2" t="s">
        <v>491</v>
      </c>
      <c r="M53" s="2">
        <f>INDEX(Bilan!$1:$300,O53,$N$1)</f>
        <v>0</v>
      </c>
      <c r="O53" s="2">
        <v>13</v>
      </c>
    </row>
    <row r="54" spans="1:15" x14ac:dyDescent="0.25">
      <c r="A54" s="2" t="s">
        <v>492</v>
      </c>
      <c r="B54" s="2" t="s">
        <v>493</v>
      </c>
      <c r="C54" s="2">
        <v>1400</v>
      </c>
      <c r="D54" s="2">
        <v>1820</v>
      </c>
      <c r="E54" s="2">
        <v>207</v>
      </c>
      <c r="F54" s="2">
        <v>131</v>
      </c>
      <c r="G54" s="2">
        <v>0</v>
      </c>
      <c r="H54" s="2">
        <v>1</v>
      </c>
      <c r="I54" s="2">
        <v>1</v>
      </c>
      <c r="L54" s="2" t="s">
        <v>494</v>
      </c>
    </row>
  </sheetData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31</vt:i4>
      </vt:variant>
      <vt:variant>
        <vt:lpstr>Plages nommées</vt:lpstr>
      </vt:variant>
      <vt:variant>
        <vt:i4>10</vt:i4>
      </vt:variant>
    </vt:vector>
  </HeadingPairs>
  <TitlesOfParts>
    <vt:vector size="41" baseType="lpstr">
      <vt:lpstr>Account</vt:lpstr>
      <vt:lpstr>Arnhem</vt:lpstr>
      <vt:lpstr>Vesoul</vt:lpstr>
      <vt:lpstr>Auckland</vt:lpstr>
      <vt:lpstr>Lorry1</vt:lpstr>
      <vt:lpstr>Lorry2</vt:lpstr>
      <vt:lpstr>Lorry3</vt:lpstr>
      <vt:lpstr>Wharehouse1</vt:lpstr>
      <vt:lpstr>Wharehouse2</vt:lpstr>
      <vt:lpstr>Wharehouse3</vt:lpstr>
      <vt:lpstr>Wharehouse4</vt:lpstr>
      <vt:lpstr>Wharehouse5</vt:lpstr>
      <vt:lpstr>Wharehouse6</vt:lpstr>
      <vt:lpstr>Wharehouse7</vt:lpstr>
      <vt:lpstr>Wharehouse8</vt:lpstr>
      <vt:lpstr>Wharehouse9</vt:lpstr>
      <vt:lpstr>Wharehouse10</vt:lpstr>
      <vt:lpstr>Liste_Elements</vt:lpstr>
      <vt:lpstr>Intercontinental_transport</vt:lpstr>
      <vt:lpstr>Purchasing</vt:lpstr>
      <vt:lpstr>Demande_alea</vt:lpstr>
      <vt:lpstr>Demand</vt:lpstr>
      <vt:lpstr>Distances</vt:lpstr>
      <vt:lpstr>Cout_revient</vt:lpstr>
      <vt:lpstr>Nomenclature</vt:lpstr>
      <vt:lpstr>Process</vt:lpstr>
      <vt:lpstr>Translation</vt:lpstr>
      <vt:lpstr>Order</vt:lpstr>
      <vt:lpstr>Bilan</vt:lpstr>
      <vt:lpstr>Execution_Transports</vt:lpstr>
      <vt:lpstr>Graphiques_Produits</vt:lpstr>
      <vt:lpstr>a</vt:lpstr>
      <vt:lpstr>b</vt:lpstr>
      <vt:lpstr>d</vt:lpstr>
      <vt:lpstr>f</vt:lpstr>
      <vt:lpstr>k</vt:lpstr>
      <vt:lpstr>s</vt:lpstr>
      <vt:lpstr>t</vt:lpstr>
      <vt:lpstr>Distances!Zone_d_impression</vt:lpstr>
      <vt:lpstr>Nomenclature!Zone_d_impression</vt:lpstr>
      <vt:lpstr>Order!Zone_d_impression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piam</dc:creator>
  <cp:lastModifiedBy>piam</cp:lastModifiedBy>
  <dcterms:created xsi:type="dcterms:W3CDTF">2024-03-14T07:00:23Z</dcterms:created>
  <dcterms:modified xsi:type="dcterms:W3CDTF">2024-03-14T07:00:24Z</dcterms:modified>
</cp:coreProperties>
</file>