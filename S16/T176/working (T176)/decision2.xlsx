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3541B87D-3818-4896-883E-27A61D4B8096}" xr6:coauthVersionLast="36" xr6:coauthVersionMax="36" xr10:uidLastSave="{00000000-0000-0000-0000-000000000000}"/>
  <bookViews>
    <workbookView xWindow="0" yWindow="0" windowWidth="23040" windowHeight="9060" firstSheet="19" activeTab="27" xr2:uid="{6D8531C3-7A87-4407-9E7D-6E6744716C99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31" l="1"/>
  <c r="M53" i="31" s="1"/>
  <c r="J53" i="31" s="1"/>
  <c r="K53" i="31" s="1"/>
  <c r="AD52" i="30"/>
  <c r="AC52" i="30"/>
  <c r="AB52" i="30"/>
  <c r="AA52" i="30"/>
  <c r="Z52" i="30"/>
  <c r="Y52" i="30" s="1"/>
  <c r="X52" i="30"/>
  <c r="U52" i="30"/>
  <c r="T52" i="30"/>
  <c r="S52" i="30"/>
  <c r="R52" i="30"/>
  <c r="Q52" i="30"/>
  <c r="P52" i="30" s="1"/>
  <c r="O52" i="30"/>
  <c r="L52" i="30"/>
  <c r="K52" i="30"/>
  <c r="J52" i="30"/>
  <c r="I52" i="30"/>
  <c r="H52" i="30"/>
  <c r="G52" i="30"/>
  <c r="F52" i="30"/>
  <c r="AD51" i="30"/>
  <c r="AC51" i="30"/>
  <c r="AB51" i="30"/>
  <c r="AA51" i="30"/>
  <c r="Z51" i="30"/>
  <c r="Y51" i="30"/>
  <c r="X51" i="30"/>
  <c r="U51" i="30"/>
  <c r="T51" i="30"/>
  <c r="S51" i="30"/>
  <c r="R51" i="30"/>
  <c r="Q51" i="30"/>
  <c r="P51" i="30" s="1"/>
  <c r="O51" i="30"/>
  <c r="L51" i="30"/>
  <c r="K51" i="30"/>
  <c r="J51" i="30"/>
  <c r="I51" i="30"/>
  <c r="H51" i="30"/>
  <c r="G51" i="30" s="1"/>
  <c r="F51" i="30"/>
  <c r="AD50" i="30"/>
  <c r="AC50" i="30"/>
  <c r="AB50" i="30"/>
  <c r="AA50" i="30"/>
  <c r="Z50" i="30"/>
  <c r="Y50" i="30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 s="1"/>
  <c r="F50" i="30"/>
  <c r="AD49" i="30"/>
  <c r="AC49" i="30"/>
  <c r="AB49" i="30"/>
  <c r="AA49" i="30"/>
  <c r="Z49" i="30"/>
  <c r="Y49" i="30" s="1"/>
  <c r="X49" i="30"/>
  <c r="U49" i="30"/>
  <c r="T49" i="30"/>
  <c r="S49" i="30"/>
  <c r="R49" i="30"/>
  <c r="Q49" i="30"/>
  <c r="P49" i="30"/>
  <c r="O49" i="30"/>
  <c r="L49" i="30"/>
  <c r="K49" i="30"/>
  <c r="J49" i="30"/>
  <c r="I49" i="30"/>
  <c r="H49" i="30"/>
  <c r="G49" i="30"/>
  <c r="F49" i="30"/>
  <c r="AD48" i="30"/>
  <c r="AC48" i="30"/>
  <c r="AB48" i="30"/>
  <c r="AA48" i="30"/>
  <c r="Z48" i="30"/>
  <c r="Y48" i="30" s="1"/>
  <c r="X48" i="30"/>
  <c r="U48" i="30"/>
  <c r="T48" i="30"/>
  <c r="S48" i="30"/>
  <c r="R48" i="30"/>
  <c r="Q48" i="30"/>
  <c r="P48" i="30" s="1"/>
  <c r="O48" i="30"/>
  <c r="L48" i="30"/>
  <c r="K48" i="30"/>
  <c r="J48" i="30"/>
  <c r="I48" i="30"/>
  <c r="H48" i="30"/>
  <c r="G48" i="30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 s="1"/>
  <c r="O47" i="30"/>
  <c r="L47" i="30"/>
  <c r="K47" i="30"/>
  <c r="J47" i="30"/>
  <c r="I47" i="30"/>
  <c r="H47" i="30"/>
  <c r="G47" i="30" s="1"/>
  <c r="F47" i="30"/>
  <c r="AD46" i="30"/>
  <c r="AC46" i="30"/>
  <c r="AB46" i="30"/>
  <c r="AA46" i="30"/>
  <c r="Z46" i="30"/>
  <c r="Y46" i="30"/>
  <c r="X46" i="30"/>
  <c r="U46" i="30"/>
  <c r="T46" i="30"/>
  <c r="S46" i="30"/>
  <c r="R46" i="30"/>
  <c r="Q46" i="30"/>
  <c r="P46" i="30"/>
  <c r="O46" i="30"/>
  <c r="L46" i="30"/>
  <c r="K46" i="30"/>
  <c r="J46" i="30"/>
  <c r="I46" i="30"/>
  <c r="H46" i="30"/>
  <c r="G46" i="30" s="1"/>
  <c r="F46" i="30"/>
  <c r="AD45" i="30"/>
  <c r="AC45" i="30"/>
  <c r="AB45" i="30"/>
  <c r="AA45" i="30"/>
  <c r="Z45" i="30"/>
  <c r="Y45" i="30" s="1"/>
  <c r="X45" i="30"/>
  <c r="U45" i="30"/>
  <c r="T45" i="30"/>
  <c r="S45" i="30"/>
  <c r="R45" i="30"/>
  <c r="Q45" i="30"/>
  <c r="P45" i="30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 s="1"/>
  <c r="X44" i="30"/>
  <c r="U44" i="30"/>
  <c r="T44" i="30"/>
  <c r="S44" i="30"/>
  <c r="R44" i="30"/>
  <c r="Q44" i="30"/>
  <c r="P44" i="30" s="1"/>
  <c r="O44" i="30"/>
  <c r="L44" i="30"/>
  <c r="K44" i="30"/>
  <c r="J44" i="30"/>
  <c r="I44" i="30"/>
  <c r="H44" i="30"/>
  <c r="G44" i="30"/>
  <c r="F44" i="30"/>
  <c r="AD43" i="30"/>
  <c r="AC43" i="30"/>
  <c r="AB43" i="30"/>
  <c r="AA43" i="30"/>
  <c r="Z43" i="30"/>
  <c r="Y43" i="30"/>
  <c r="X43" i="30"/>
  <c r="U43" i="30"/>
  <c r="T43" i="30"/>
  <c r="S43" i="30"/>
  <c r="R43" i="30"/>
  <c r="Q43" i="30"/>
  <c r="P43" i="30" s="1"/>
  <c r="O43" i="30"/>
  <c r="L43" i="30"/>
  <c r="K43" i="30"/>
  <c r="J43" i="30"/>
  <c r="I43" i="30"/>
  <c r="H43" i="30"/>
  <c r="G43" i="30" s="1"/>
  <c r="F43" i="30"/>
  <c r="AD42" i="30"/>
  <c r="AC42" i="30"/>
  <c r="AB42" i="30"/>
  <c r="AA42" i="30"/>
  <c r="Z42" i="30"/>
  <c r="Y42" i="30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 s="1"/>
  <c r="F42" i="30"/>
  <c r="AD41" i="30"/>
  <c r="AC41" i="30"/>
  <c r="AB41" i="30"/>
  <c r="AA41" i="30"/>
  <c r="Z41" i="30"/>
  <c r="Y41" i="30" s="1"/>
  <c r="X41" i="30"/>
  <c r="U41" i="30"/>
  <c r="T41" i="30"/>
  <c r="S41" i="30"/>
  <c r="R41" i="30"/>
  <c r="Q41" i="30"/>
  <c r="P41" i="30"/>
  <c r="O41" i="30"/>
  <c r="L41" i="30"/>
  <c r="K41" i="30"/>
  <c r="J41" i="30"/>
  <c r="I41" i="30"/>
  <c r="H41" i="30"/>
  <c r="G41" i="30"/>
  <c r="F41" i="30"/>
  <c r="AD40" i="30"/>
  <c r="AC40" i="30"/>
  <c r="AB40" i="30"/>
  <c r="AA40" i="30"/>
  <c r="Z40" i="30"/>
  <c r="Y40" i="30" s="1"/>
  <c r="X40" i="30"/>
  <c r="U40" i="30"/>
  <c r="T40" i="30"/>
  <c r="S40" i="30"/>
  <c r="R40" i="30"/>
  <c r="Q40" i="30"/>
  <c r="P40" i="30" s="1"/>
  <c r="O40" i="30"/>
  <c r="L40" i="30"/>
  <c r="K40" i="30"/>
  <c r="J40" i="30"/>
  <c r="I40" i="30"/>
  <c r="H40" i="30"/>
  <c r="G40" i="30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 s="1"/>
  <c r="O39" i="30"/>
  <c r="L39" i="30"/>
  <c r="K39" i="30"/>
  <c r="J39" i="30"/>
  <c r="I39" i="30"/>
  <c r="H39" i="30"/>
  <c r="G39" i="30" s="1"/>
  <c r="F39" i="30"/>
  <c r="AD38" i="30"/>
  <c r="AC38" i="30"/>
  <c r="AB38" i="30"/>
  <c r="AA38" i="30"/>
  <c r="Z38" i="30"/>
  <c r="Y38" i="30"/>
  <c r="X38" i="30"/>
  <c r="U38" i="30"/>
  <c r="T38" i="30"/>
  <c r="S38" i="30"/>
  <c r="R38" i="30"/>
  <c r="Q38" i="30"/>
  <c r="P38" i="30"/>
  <c r="O38" i="30"/>
  <c r="L38" i="30"/>
  <c r="K38" i="30"/>
  <c r="J38" i="30"/>
  <c r="I38" i="30"/>
  <c r="H38" i="30"/>
  <c r="G38" i="30" s="1"/>
  <c r="F38" i="30"/>
  <c r="AD37" i="30"/>
  <c r="AC37" i="30"/>
  <c r="AB37" i="30"/>
  <c r="AA37" i="30"/>
  <c r="Z37" i="30"/>
  <c r="Y37" i="30" s="1"/>
  <c r="X37" i="30"/>
  <c r="U37" i="30"/>
  <c r="T37" i="30"/>
  <c r="S37" i="30"/>
  <c r="R37" i="30"/>
  <c r="Q37" i="30"/>
  <c r="P37" i="30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 s="1"/>
  <c r="X36" i="30"/>
  <c r="U36" i="30"/>
  <c r="T36" i="30"/>
  <c r="S36" i="30"/>
  <c r="R36" i="30"/>
  <c r="Q36" i="30"/>
  <c r="P36" i="30" s="1"/>
  <c r="O36" i="30"/>
  <c r="L36" i="30"/>
  <c r="K36" i="30"/>
  <c r="J36" i="30"/>
  <c r="I36" i="30"/>
  <c r="H36" i="30"/>
  <c r="G36" i="30"/>
  <c r="F36" i="30"/>
  <c r="AD35" i="30"/>
  <c r="AC35" i="30"/>
  <c r="AB35" i="30"/>
  <c r="AA35" i="30"/>
  <c r="Z35" i="30"/>
  <c r="Y35" i="30"/>
  <c r="X35" i="30"/>
  <c r="U35" i="30"/>
  <c r="T35" i="30"/>
  <c r="S35" i="30"/>
  <c r="R35" i="30"/>
  <c r="Q35" i="30"/>
  <c r="P35" i="30" s="1"/>
  <c r="O35" i="30"/>
  <c r="L35" i="30"/>
  <c r="K35" i="30"/>
  <c r="J35" i="30"/>
  <c r="I35" i="30"/>
  <c r="H35" i="30"/>
  <c r="G35" i="30" s="1"/>
  <c r="F35" i="30"/>
  <c r="AD34" i="30"/>
  <c r="AC34" i="30"/>
  <c r="AB34" i="30"/>
  <c r="AA34" i="30"/>
  <c r="Z34" i="30"/>
  <c r="Y34" i="30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 s="1"/>
  <c r="F34" i="30"/>
  <c r="AD33" i="30"/>
  <c r="AC33" i="30"/>
  <c r="AB33" i="30"/>
  <c r="AA33" i="30"/>
  <c r="Z33" i="30"/>
  <c r="Y33" i="30" s="1"/>
  <c r="X33" i="30"/>
  <c r="U33" i="30"/>
  <c r="T33" i="30"/>
  <c r="S33" i="30"/>
  <c r="R33" i="30"/>
  <c r="Q33" i="30"/>
  <c r="P33" i="30"/>
  <c r="O33" i="30"/>
  <c r="L33" i="30"/>
  <c r="K33" i="30"/>
  <c r="J33" i="30"/>
  <c r="I33" i="30"/>
  <c r="H33" i="30"/>
  <c r="G33" i="30"/>
  <c r="F33" i="30"/>
  <c r="AD32" i="30"/>
  <c r="AC32" i="30"/>
  <c r="AB32" i="30"/>
  <c r="AA32" i="30"/>
  <c r="Z32" i="30"/>
  <c r="Y32" i="30" s="1"/>
  <c r="X32" i="30"/>
  <c r="U32" i="30"/>
  <c r="T32" i="30"/>
  <c r="S32" i="30"/>
  <c r="R32" i="30"/>
  <c r="Q32" i="30"/>
  <c r="P32" i="30" s="1"/>
  <c r="O32" i="30"/>
  <c r="L32" i="30"/>
  <c r="K32" i="30"/>
  <c r="J32" i="30"/>
  <c r="I32" i="30"/>
  <c r="H32" i="30"/>
  <c r="G32" i="30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 s="1"/>
  <c r="O31" i="30"/>
  <c r="L31" i="30"/>
  <c r="K31" i="30"/>
  <c r="J31" i="30"/>
  <c r="I31" i="30"/>
  <c r="H31" i="30"/>
  <c r="G31" i="30" s="1"/>
  <c r="F31" i="30"/>
  <c r="AD30" i="30"/>
  <c r="AC30" i="30"/>
  <c r="AB30" i="30"/>
  <c r="AA30" i="30"/>
  <c r="Z30" i="30"/>
  <c r="Y30" i="30"/>
  <c r="X30" i="30"/>
  <c r="U30" i="30"/>
  <c r="T30" i="30"/>
  <c r="S30" i="30"/>
  <c r="R30" i="30"/>
  <c r="Q30" i="30"/>
  <c r="P30" i="30"/>
  <c r="O30" i="30"/>
  <c r="L30" i="30"/>
  <c r="K30" i="30"/>
  <c r="J30" i="30"/>
  <c r="I30" i="30"/>
  <c r="H30" i="30"/>
  <c r="G30" i="30" s="1"/>
  <c r="F30" i="30"/>
  <c r="AD29" i="30"/>
  <c r="AC29" i="30"/>
  <c r="AB29" i="30"/>
  <c r="AA29" i="30"/>
  <c r="Z29" i="30"/>
  <c r="Y29" i="30" s="1"/>
  <c r="X29" i="30"/>
  <c r="U29" i="30"/>
  <c r="T29" i="30"/>
  <c r="S29" i="30"/>
  <c r="R29" i="30"/>
  <c r="Q29" i="30"/>
  <c r="P29" i="30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 s="1"/>
  <c r="X28" i="30"/>
  <c r="U28" i="30"/>
  <c r="T28" i="30"/>
  <c r="S28" i="30"/>
  <c r="R28" i="30"/>
  <c r="Q28" i="30"/>
  <c r="P28" i="30" s="1"/>
  <c r="P54" i="30" s="1"/>
  <c r="O28" i="30"/>
  <c r="L28" i="30"/>
  <c r="K28" i="30"/>
  <c r="J28" i="30"/>
  <c r="I28" i="30"/>
  <c r="I54" i="30" s="1"/>
  <c r="H28" i="30"/>
  <c r="G28" i="30"/>
  <c r="F28" i="30"/>
  <c r="A2" i="30"/>
  <c r="A3" i="30" s="1"/>
  <c r="A1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P235" i="29" s="1"/>
  <c r="O233" i="29"/>
  <c r="O235" i="29" s="1"/>
  <c r="N233" i="29"/>
  <c r="N235" i="29" s="1"/>
  <c r="M233" i="29"/>
  <c r="M235" i="29" s="1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K32" i="28"/>
  <c r="C32" i="28"/>
  <c r="AC31" i="28"/>
  <c r="AA31" i="28"/>
  <c r="Z31" i="28"/>
  <c r="S31" i="28"/>
  <c r="K31" i="28"/>
  <c r="C31" i="28"/>
  <c r="AC30" i="28"/>
  <c r="AA30" i="28"/>
  <c r="Z30" i="28"/>
  <c r="S30" i="28"/>
  <c r="K30" i="28"/>
  <c r="C30" i="28"/>
  <c r="AC29" i="28"/>
  <c r="AA29" i="28"/>
  <c r="Z29" i="28"/>
  <c r="S29" i="28"/>
  <c r="K29" i="28"/>
  <c r="C29" i="28"/>
  <c r="AC28" i="28"/>
  <c r="AA28" i="28"/>
  <c r="Z28" i="28"/>
  <c r="S28" i="28"/>
  <c r="K28" i="28"/>
  <c r="C28" i="28"/>
  <c r="S24" i="28"/>
  <c r="T24" i="28" s="1"/>
  <c r="K24" i="28"/>
  <c r="L24" i="28" s="1"/>
  <c r="C24" i="28"/>
  <c r="D24" i="28" s="1"/>
  <c r="F45" i="24"/>
  <c r="F44" i="24"/>
  <c r="F43" i="24" s="1"/>
  <c r="E43" i="24" s="1"/>
  <c r="J39" i="24"/>
  <c r="F38" i="24"/>
  <c r="J37" i="24"/>
  <c r="F37" i="24"/>
  <c r="F35" i="24" s="1"/>
  <c r="E35" i="24" s="1"/>
  <c r="E27" i="24" s="1"/>
  <c r="F27" i="24" s="1"/>
  <c r="J36" i="24"/>
  <c r="I36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I29" i="20"/>
  <c r="H29" i="20"/>
  <c r="G29" i="20"/>
  <c r="F29" i="20"/>
  <c r="D29" i="20"/>
  <c r="J23" i="20"/>
  <c r="I23" i="20"/>
  <c r="H23" i="20"/>
  <c r="G23" i="20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K16" i="19"/>
  <c r="J16" i="19"/>
  <c r="I16" i="19"/>
  <c r="L16" i="19" s="1"/>
  <c r="H16" i="19"/>
  <c r="G16" i="19"/>
  <c r="E16" i="19"/>
  <c r="C16" i="19"/>
  <c r="M10" i="19"/>
  <c r="L10" i="19"/>
  <c r="K10" i="19"/>
  <c r="J10" i="19"/>
  <c r="I10" i="19"/>
  <c r="H10" i="19"/>
  <c r="G10" i="19"/>
  <c r="E10" i="19"/>
  <c r="C10" i="19"/>
  <c r="M4" i="19"/>
  <c r="L4" i="19"/>
  <c r="K4" i="19"/>
  <c r="J4" i="19"/>
  <c r="I4" i="19"/>
  <c r="H4" i="19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H28" i="7"/>
  <c r="I28" i="7" s="1"/>
  <c r="G28" i="7"/>
  <c r="D28" i="7"/>
  <c r="C28" i="7"/>
  <c r="H22" i="7"/>
  <c r="I22" i="7" s="1"/>
  <c r="G22" i="7"/>
  <c r="E22" i="7"/>
  <c r="D22" i="7"/>
  <c r="C22" i="7"/>
  <c r="I16" i="7"/>
  <c r="H16" i="7"/>
  <c r="G16" i="7"/>
  <c r="D16" i="7"/>
  <c r="C16" i="7"/>
  <c r="H10" i="7"/>
  <c r="I10" i="7" s="1"/>
  <c r="G10" i="7"/>
  <c r="E10" i="7"/>
  <c r="D10" i="7"/>
  <c r="C10" i="7"/>
  <c r="K4" i="7"/>
  <c r="J4" i="7"/>
  <c r="I4" i="7"/>
  <c r="G4" i="7"/>
  <c r="D4" i="7"/>
  <c r="E4" i="7" s="1"/>
  <c r="H28" i="6"/>
  <c r="I28" i="6" s="1"/>
  <c r="G28" i="6"/>
  <c r="D28" i="6"/>
  <c r="C28" i="6"/>
  <c r="H22" i="6"/>
  <c r="I22" i="6" s="1"/>
  <c r="G22" i="6"/>
  <c r="E22" i="6"/>
  <c r="D22" i="6"/>
  <c r="C22" i="6"/>
  <c r="H16" i="6"/>
  <c r="I16" i="6" s="1"/>
  <c r="G16" i="6"/>
  <c r="D16" i="6"/>
  <c r="C16" i="6"/>
  <c r="H10" i="6"/>
  <c r="I10" i="6" s="1"/>
  <c r="G10" i="6"/>
  <c r="E10" i="6"/>
  <c r="D10" i="6"/>
  <c r="C10" i="6"/>
  <c r="K4" i="6"/>
  <c r="J4" i="6"/>
  <c r="I4" i="6"/>
  <c r="G4" i="6"/>
  <c r="D4" i="6"/>
  <c r="E4" i="6" s="1"/>
  <c r="H28" i="5"/>
  <c r="I28" i="5" s="1"/>
  <c r="G28" i="5"/>
  <c r="D28" i="5"/>
  <c r="C28" i="5"/>
  <c r="H22" i="5"/>
  <c r="I22" i="5" s="1"/>
  <c r="G22" i="5"/>
  <c r="E22" i="5"/>
  <c r="D22" i="5"/>
  <c r="C22" i="5"/>
  <c r="H16" i="5"/>
  <c r="I16" i="5" s="1"/>
  <c r="G16" i="5"/>
  <c r="D16" i="5"/>
  <c r="C16" i="5"/>
  <c r="H10" i="5"/>
  <c r="I10" i="5" s="1"/>
  <c r="G10" i="5"/>
  <c r="E10" i="5"/>
  <c r="D10" i="5"/>
  <c r="C10" i="5"/>
  <c r="K4" i="5"/>
  <c r="J4" i="5"/>
  <c r="I4" i="5"/>
  <c r="G4" i="5"/>
  <c r="D4" i="5"/>
  <c r="E4" i="5" s="1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M4" i="4" s="1"/>
  <c r="J4" i="4"/>
  <c r="I4" i="4"/>
  <c r="G4" i="4"/>
  <c r="E4" i="4"/>
  <c r="H22" i="3"/>
  <c r="G22" i="3"/>
  <c r="E22" i="3"/>
  <c r="H16" i="3"/>
  <c r="G16" i="3"/>
  <c r="E16" i="3"/>
  <c r="Q10" i="3"/>
  <c r="P10" i="3"/>
  <c r="O10" i="3"/>
  <c r="N10" i="3"/>
  <c r="M10" i="3"/>
  <c r="L10" i="3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P10" i="2"/>
  <c r="O10" i="2"/>
  <c r="N10" i="2"/>
  <c r="M10" i="2"/>
  <c r="L10" i="2"/>
  <c r="J10" i="2"/>
  <c r="H10" i="2"/>
  <c r="F10" i="2"/>
  <c r="Q4" i="2"/>
  <c r="N4" i="2"/>
  <c r="M4" i="2"/>
  <c r="P4" i="2" s="1"/>
  <c r="K4" i="2"/>
  <c r="O4" i="2" s="1"/>
  <c r="J4" i="2"/>
  <c r="H4" i="2"/>
  <c r="F4" i="2"/>
  <c r="B11" i="1"/>
  <c r="C11" i="1" s="1"/>
  <c r="C10" i="1"/>
  <c r="M6" i="31" l="1"/>
  <c r="J6" i="31" s="1"/>
  <c r="K6" i="31" s="1"/>
  <c r="M13" i="31"/>
  <c r="J13" i="31" s="1"/>
  <c r="K13" i="31" s="1"/>
  <c r="M24" i="31"/>
  <c r="J24" i="31" s="1"/>
  <c r="K24" i="31" s="1"/>
  <c r="M33" i="31"/>
  <c r="J33" i="31" s="1"/>
  <c r="K33" i="31" s="1"/>
  <c r="M46" i="31"/>
  <c r="J46" i="31" s="1"/>
  <c r="K46" i="31" s="1"/>
  <c r="M16" i="31"/>
  <c r="J16" i="31" s="1"/>
  <c r="K16" i="31" s="1"/>
  <c r="M28" i="31"/>
  <c r="J28" i="31" s="1"/>
  <c r="K28" i="31" s="1"/>
  <c r="M38" i="31"/>
  <c r="J38" i="31" s="1"/>
  <c r="K38" i="31" s="1"/>
  <c r="M51" i="31"/>
  <c r="J51" i="31" s="1"/>
  <c r="K51" i="31" s="1"/>
  <c r="M3" i="31"/>
  <c r="J3" i="31" s="1"/>
  <c r="K3" i="31" s="1"/>
  <c r="M42" i="31"/>
  <c r="J42" i="31" s="1"/>
  <c r="K42" i="31" s="1"/>
  <c r="M49" i="31"/>
  <c r="J49" i="31" s="1"/>
  <c r="K49" i="31" s="1"/>
  <c r="M8" i="31"/>
  <c r="M17" i="31"/>
  <c r="J17" i="31" s="1"/>
  <c r="K17" i="31" s="1"/>
  <c r="M29" i="31"/>
  <c r="J29" i="31" s="1"/>
  <c r="K29" i="31" s="1"/>
  <c r="M39" i="31"/>
  <c r="J39" i="31" s="1"/>
  <c r="K39" i="31" s="1"/>
  <c r="M52" i="31"/>
  <c r="J52" i="31" s="1"/>
  <c r="K52" i="31" s="1"/>
  <c r="M4" i="31"/>
  <c r="J4" i="31" s="1"/>
  <c r="K4" i="31" s="1"/>
  <c r="M12" i="31"/>
  <c r="J12" i="31" s="1"/>
  <c r="K12" i="31" s="1"/>
  <c r="M22" i="31"/>
  <c r="J22" i="31" s="1"/>
  <c r="K22" i="31" s="1"/>
  <c r="M32" i="31"/>
  <c r="J32" i="31" s="1"/>
  <c r="K32" i="31" s="1"/>
  <c r="M45" i="31"/>
  <c r="J45" i="31" s="1"/>
  <c r="K45" i="31" s="1"/>
  <c r="M10" i="31"/>
  <c r="J10" i="31" s="1"/>
  <c r="K10" i="31" s="1"/>
  <c r="M21" i="31"/>
  <c r="J21" i="31" s="1"/>
  <c r="K21" i="31" s="1"/>
  <c r="M31" i="31"/>
  <c r="J31" i="31" s="1"/>
  <c r="K31" i="31" s="1"/>
  <c r="M7" i="31"/>
  <c r="J7" i="31" s="1"/>
  <c r="K7" i="31" s="1"/>
  <c r="M14" i="31"/>
  <c r="J14" i="31" s="1"/>
  <c r="K14" i="31" s="1"/>
  <c r="M25" i="31"/>
  <c r="J25" i="31" s="1"/>
  <c r="K25" i="31" s="1"/>
  <c r="M35" i="31"/>
  <c r="J35" i="31" s="1"/>
  <c r="K35" i="31" s="1"/>
  <c r="M15" i="31"/>
  <c r="J15" i="31" s="1"/>
  <c r="K15" i="31" s="1"/>
  <c r="M27" i="31"/>
  <c r="J27" i="31" s="1"/>
  <c r="K27" i="31" s="1"/>
  <c r="M36" i="31"/>
  <c r="J36" i="31" s="1"/>
  <c r="K36" i="31" s="1"/>
  <c r="M50" i="31"/>
  <c r="J50" i="31" s="1"/>
  <c r="K50" i="31" s="1"/>
  <c r="M9" i="31"/>
  <c r="J9" i="31" s="1"/>
  <c r="K9" i="31" s="1"/>
  <c r="M18" i="31"/>
  <c r="J18" i="31" s="1"/>
  <c r="K18" i="31" s="1"/>
  <c r="M30" i="31"/>
  <c r="J30" i="31" s="1"/>
  <c r="K30" i="31" s="1"/>
  <c r="M41" i="31"/>
  <c r="J41" i="31" s="1"/>
  <c r="K41" i="31" s="1"/>
  <c r="Y54" i="30"/>
  <c r="G54" i="30"/>
  <c r="E28" i="24"/>
  <c r="F28" i="24" s="1"/>
  <c r="F25" i="24" s="1"/>
  <c r="E25" i="24" s="1"/>
  <c r="E17" i="24" s="1"/>
  <c r="F17" i="24" s="1"/>
  <c r="F15" i="24" s="1"/>
  <c r="E15" i="24" s="1"/>
  <c r="I28" i="24"/>
  <c r="J28" i="24" s="1"/>
  <c r="J26" i="24" s="1"/>
  <c r="I26" i="24" s="1"/>
  <c r="I18" i="24" s="1"/>
  <c r="J18" i="24" s="1"/>
  <c r="J16" i="24" s="1"/>
  <c r="I16" i="24" s="1"/>
</calcChain>
</file>

<file path=xl/sharedStrings.xml><?xml version="1.0" encoding="utf-8"?>
<sst xmlns="http://schemas.openxmlformats.org/spreadsheetml/2006/main" count="4232" uniqueCount="495">
  <si>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</si>
  <si>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</si>
  <si>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</si>
  <si>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</si>
  <si>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</si>
  <si>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</si>
  <si>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</si>
  <si>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</si>
  <si>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</si>
  <si>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</si>
  <si>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</si>
  <si>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</si>
  <si>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</si>
  <si>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</si>
  <si>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</si>
  <si>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</si>
  <si>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</si>
  <si>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</si>
  <si>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</si>
  <si>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</si>
  <si>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</si>
  <si>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</si>
  <si>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</si>
  <si>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</si>
  <si>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</si>
  <si>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</si>
  <si>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</si>
  <si>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</si>
  <si>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</si>
  <si>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</si>
  <si>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</si>
  <si>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</si>
  <si>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</si>
  <si>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</si>
  <si>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</si>
  <si>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</si>
  <si>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</si>
  <si>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</si>
  <si>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</si>
  <si>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</si>
  <si>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</si>
  <si>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</si>
  <si>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</si>
  <si>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</si>
  <si>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</si>
  <si>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</si>
  <si>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</si>
  <si>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</si>
  <si>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</si>
  <si>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</si>
  <si>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</si>
  <si>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</si>
  <si>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</si>
  <si>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</si>
  <si>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</si>
  <si>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</si>
  <si>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</si>
  <si>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</si>
  <si>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</si>
  <si>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</si>
  <si>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</si>
  <si>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</si>
  <si>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</si>
  <si>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</si>
  <si>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</si>
  <si>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</si>
  <si>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</si>
  <si>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</si>
  <si>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</si>
  <si>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</si>
  <si>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</si>
  <si>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</si>
  <si>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</si>
  <si>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</si>
  <si>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</si>
  <si>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</si>
  <si>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</si>
  <si>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</si>
  <si>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</si>
  <si>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</si>
  <si>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</si>
  <si>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</si>
  <si>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</si>
  <si>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</si>
  <si>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</si>
  <si>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</si>
  <si>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</si>
  <si>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</si>
  <si>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</si>
  <si>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</si>
  <si>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</si>
  <si>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</si>
  <si>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</si>
  <si>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</si>
  <si>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</si>
  <si>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</si>
  <si>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</si>
  <si>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</si>
  <si>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</si>
  <si>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</si>
  <si>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</si>
  <si>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</si>
  <si>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</si>
  <si>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</si>
  <si>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</si>
  <si>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</si>
  <si>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</si>
  <si>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</si>
  <si>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</si>
  <si>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</si>
  <si>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</si>
  <si>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</si>
  <si>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</si>
  <si>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</si>
  <si>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</si>
  <si>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</si>
  <si>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</si>
  <si>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</si>
  <si>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</si>
  <si>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</si>
  <si>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</si>
  <si>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</si>
  <si>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</si>
  <si>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</si>
  <si>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</si>
  <si>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</si>
  <si>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</si>
  <si>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</si>
  <si>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</si>
  <si>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</si>
  <si>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</si>
  <si>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</si>
  <si>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</si>
  <si>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</si>
  <si>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</si>
  <si>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</si>
  <si>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</si>
  <si>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</si>
  <si>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</si>
  <si>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</si>
  <si>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</si>
  <si>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</si>
  <si>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</si>
  <si>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</si>
  <si>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</si>
  <si>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</si>
  <si>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</si>
  <si>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</si>
  <si>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</si>
  <si>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</si>
  <si>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</si>
  <si>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</si>
  <si>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</si>
  <si>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</si>
  <si>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</si>
  <si>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</si>
  <si>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</si>
  <si>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</si>
  <si>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</si>
  <si>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</si>
  <si>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</si>
  <si>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</si>
  <si>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</si>
  <si>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</si>
  <si>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</si>
  <si>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</si>
  <si>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</si>
  <si>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</si>
  <si>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</si>
  <si>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</si>
  <si>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</si>
  <si>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</si>
  <si>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</si>
  <si>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</si>
  <si>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</si>
  <si>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</si>
  <si>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</si>
  <si>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</si>
  <si>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</si>
  <si>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</si>
  <si>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</si>
  <si>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</si>
  <si>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</si>
  <si>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</si>
  <si>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</si>
  <si>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</si>
  <si>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</si>
  <si>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</si>
  <si>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</si>
  <si>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</si>
  <si>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</si>
  <si>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</si>
  <si>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</si>
  <si>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</si>
  <si>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</si>
  <si>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</si>
  <si>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</si>
  <si>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</si>
  <si>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</si>
  <si>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</si>
  <si>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</si>
  <si>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</si>
  <si>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</si>
  <si>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</si>
  <si>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</si>
  <si>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</si>
  <si>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</si>
  <si>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</si>
  <si>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</si>
  <si>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</si>
  <si>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</si>
  <si>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</si>
  <si>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</si>
  <si>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</si>
  <si>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</si>
  <si>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</si>
  <si>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</si>
  <si>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</si>
  <si>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</si>
  <si>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</si>
  <si>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</si>
  <si>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</si>
  <si>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</si>
  <si>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</si>
  <si>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</si>
  <si>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</si>
  <si>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</si>
  <si>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</si>
  <si>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</si>
  <si>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</si>
  <si>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</si>
  <si>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</si>
  <si>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</si>
  <si>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</si>
  <si>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</si>
  <si>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</si>
  <si>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</si>
  <si>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</si>
  <si>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</si>
  <si>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</si>
  <si>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</si>
  <si>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</si>
  <si>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</si>
  <si>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</si>
  <si>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</si>
  <si>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</si>
  <si>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</si>
  <si>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</si>
  <si>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</si>
  <si>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</si>
  <si>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</si>
  <si>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</si>
  <si>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</si>
  <si>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</si>
  <si>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</si>
  <si>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</si>
  <si>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</si>
  <si>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</si>
  <si>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</si>
  <si>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</si>
  <si>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</si>
  <si>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</si>
  <si>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</si>
  <si>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</si>
  <si>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</si>
  <si>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</si>
  <si>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</si>
  <si>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</si>
  <si>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</si>
  <si>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</si>
  <si>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</si>
  <si>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</si>
  <si>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</si>
  <si>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</si>
  <si>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</si>
  <si>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</si>
  <si>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</si>
  <si>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</si>
  <si>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</si>
  <si>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</si>
  <si>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</si>
  <si>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</si>
  <si>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</si>
  <si>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</si>
  <si>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</si>
  <si>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</si>
  <si>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</si>
  <si>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</si>
  <si>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</si>
  <si>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</si>
  <si>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</si>
  <si>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</si>
  <si>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</si>
  <si>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</si>
  <si>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</si>
  <si>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</si>
  <si>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</si>
  <si>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</si>
  <si>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</si>
  <si>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</si>
  <si>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</si>
  <si>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</si>
  <si>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</si>
  <si>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</si>
  <si>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</si>
  <si>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</si>
  <si>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</si>
  <si>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</si>
  <si>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</si>
  <si>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</si>
  <si>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</si>
  <si>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</si>
  <si>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</si>
  <si>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</si>
  <si>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</si>
  <si>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</si>
  <si>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</si>
  <si>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</si>
  <si>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</si>
  <si>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</si>
  <si>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</si>
  <si>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</si>
  <si>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</si>
  <si>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</si>
  <si>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</si>
  <si>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</si>
  <si>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</si>
  <si>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</si>
  <si>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</si>
  <si>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</si>
  <si>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</si>
  <si>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</si>
  <si>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</si>
  <si>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</si>
  <si>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</si>
  <si>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</si>
  <si>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</si>
  <si>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</si>
  <si>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</si>
  <si>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</si>
  <si>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</si>
  <si>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</si>
  <si>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</si>
  <si>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</si>
  <si>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</si>
  <si>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</si>
  <si>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</si>
  <si>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</si>
  <si>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</si>
  <si>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</si>
  <si>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</si>
  <si>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</si>
  <si>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</si>
  <si>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</si>
  <si>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</si>
  <si>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</si>
  <si>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</si>
  <si>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</si>
  <si>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</si>
  <si>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</si>
  <si>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</si>
  <si>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</si>
  <si>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</si>
  <si>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</si>
  <si>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</si>
  <si>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</si>
  <si>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</si>
  <si>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</si>
  <si>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D:\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</si>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</sst>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0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9DE4BB82-0441-4B71-8340-B5C8A2DFA81F}"/>
    <cellStyle name="Pourcentage 3 2" xfId="2" xr:uid="{50E57C9A-41A0-4875-8C4D-60101AE2BDA0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C-4692-8E7C-2409A3A104AD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C-4692-8E7C-2409A3A1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B-44F3-BB88-E6A25D65AEA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B-44F3-BB88-E6A25D65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9-4AA6-8913-7E78D4915A9E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9-4AA6-8913-7E78D4915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47-86A5-0323EC00064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2-4A47-86A5-0323EC00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B-4099-B118-28FF07430838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B-4099-B118-28FF0743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B-4AFC-860C-0F71A61BAA1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0B-4AFC-860C-0F71A61BA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2-4D84-95F0-5023D4E20FF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2-4D84-95F0-5023D4E20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8-4BF7-A523-4466A65316A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8-4BF7-A523-4466A653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7-4C0D-B17C-08F50A3BD68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7-4C0D-B17C-08F50A3BD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F-44F4-BDE6-F2CEF0D2804F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9F-44F4-BDE6-F2CEF0D28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F-49C4-BB44-97A5C5781AE7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F-49C4-BB44-97A5C5781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451E0-A90D-497D-8A13-8B5769322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37D7A-87CE-47C3-A21A-3DEF6D0BE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C6D63F-DFBD-40B2-A792-D9EA4147C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D26D2-FE09-401E-9057-F36F3786C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B3692F-AE44-4432-8171-0D795F284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A86800-79AF-4F80-8F6B-0333758C6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ACD2B7-CFEB-42D6-9359-2B5EAE8B2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0162EC-7942-4CA4-8997-BF0E7B5B9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3ED2FA-DDDF-4319-AC62-CE1C1ADED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0324DDE-7562-4868-A764-D7121D1DA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3204755-6528-485F-B834-FAA3157DD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E4D562E-F12D-4F19-B0C4-CBD41D8E0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C956300-1F85-426A-8654-64A4EA895AFF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70E623D-9611-473E-86AD-A58F64952601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CD3A3FF-5F8C-4939-85A2-FE57845A2E21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12744CA1-21B0-40AA-BB59-35E5B673DB90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50164B3-67DB-4533-AE0A-352FE9170A89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4EDD130E-3613-4870-9540-89CE1EA15F3A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E6A6FB1F-AC61-4D27-A428-29908B53DF3A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FAAA5F6-4B4F-4ABB-894D-E9583D4B1F95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18B208E5-F366-418C-89D7-31D7E174327B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A6997C04-9DC2-442E-93EE-37B13B1D60C2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6F0D9845-3D9A-4B80-9080-3DCB6F51194C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B6FF678F-3C27-4367-A12E-26D26F7F233A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F4D7F8C1-E5BC-49DC-9064-5A9A5DA89ADD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8D0D4528-4C4B-464D-8DBC-6DFB860A6232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6D66662D-05EE-4BAD-BC94-AB3A7BCD3DC6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D276AB19-F54E-4ABE-A222-FD12A8593937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376ADED5-4576-4929-81FA-853FE66B4F4A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B3718F35-1FA2-4CA2-8FCF-2969457086DF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4CF6D313-BBE1-41D7-889A-893AF42CD8B9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58E17580-D7D8-46B2-B61E-C268AF029E3B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193CB8BC-FFC1-4FAE-8B6A-75B367E5F0A1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AE9E2920-8D7B-40D3-97D9-CE527E78DDA3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79922A13-051C-4ADC-8ABA-774A88F25EC3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F986B4F6-BEA2-4B32-9C7B-9647E82E8604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E408A547-065E-4663-896C-D8BFEEA18086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740E7DEB-9E94-4C20-BF17-66D50639C602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D5E5A934-1689-4D8A-B5A6-B2E5B202836B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08D3CC02-654C-478A-930A-61DF383BF669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AEBD994-93E3-4970-9E53-40236BB39183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0EFE2F71-F4F6-4243-AB45-02E72354B94B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C2FB3EAE-B7DF-48B0-BA04-6777B396E04A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AFA9EEAD-D54B-45D9-9CD9-6B5BC4B9E8FD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D9E4F17C-B02E-4035-AC35-149BF3A3878E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0F4723E0-68E3-4FAA-95A9-B99E907A836F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1E3A88BB-1119-4878-93AC-698DC35B5A3B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CE092FC6-18CE-41F9-BE7C-6FC93271582B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AE6D5F74-DA40-49F7-BAFA-5AC755F44B91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3E2D3B56-3BC9-487A-A474-A4A4EEE8FF91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110A4898-5677-49D2-A8FC-43A663D21396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9CA06CB8-9898-4351-80D4-2CEEA9007651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3E74F343-21C8-4C51-92F3-4F7AC5291081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7E1D6818-44D2-43A5-B170-B3CAE6656DD1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2549F914-3630-471E-84CC-2869661656EF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E05BC605-474E-43E2-9240-5CAE440B5555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D870EEFA-CC9E-43E2-82C7-5D4910C68135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477C2216-B59E-4CF4-95AB-CF84CCCFC841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FB14BA2A-FCFA-4A0D-8905-2D7547021DD6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F30F4D55-C664-4540-9CFA-6CAD6F68DF35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999E27AA-E6F0-41E7-A397-7532944D3FA4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6CE0EA8F-C65B-424B-B271-5507688D26DE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7BCCA1FE-9A4C-45E8-8D1E-5455E24E1868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83509BAD-FFAD-4EB0-89EF-236E0546C0A6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62288C74-A420-4484-8AC8-858AB2D6FFA6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CA4E7C0B-7584-4436-9772-7F4254C3A9C3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806F5F96-F88D-472B-B962-169DB7903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2ECCBB93-863E-4BE6-9093-38C506F5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51C96E7E-BF3B-478B-AC50-5F0F4CAAD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828C039-BA2D-493A-A4A2-28514CAA2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BA1B6F3E-50BD-43DF-B168-9BB5C7624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7955B2A7-060A-4983-A439-0CAD273428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4094-7382-436B-AC67-82797F80CAA6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-55172</v>
      </c>
      <c r="G10" s="5">
        <v>-90658</v>
      </c>
      <c r="H10" s="5">
        <v>-94258</v>
      </c>
      <c r="I10" s="5">
        <v>-94258</v>
      </c>
      <c r="J10" s="5">
        <v>-94258</v>
      </c>
      <c r="K10" s="5">
        <v>-94258</v>
      </c>
      <c r="L10" s="5">
        <v>-94258</v>
      </c>
      <c r="M10" s="5">
        <v>-94258</v>
      </c>
      <c r="N10" s="5">
        <v>-94258</v>
      </c>
      <c r="O10" s="5">
        <v>-94258</v>
      </c>
      <c r="P10" s="5">
        <v>-94258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>
        <v>722862.9600000002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BA8F-FF94-4ECF-AA5B-AD16015BAECF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>
        <v>282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11</v>
      </c>
      <c r="G31" s="3">
        <v>5</v>
      </c>
      <c r="H31" s="3"/>
      <c r="I31" s="3"/>
      <c r="J31" s="3"/>
      <c r="K31" s="3"/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90</v>
      </c>
      <c r="G32" s="3">
        <v>60</v>
      </c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840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-2800</v>
      </c>
      <c r="H36" s="5"/>
      <c r="I36" s="5"/>
      <c r="J36" s="5"/>
      <c r="K36" s="5"/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864</v>
      </c>
      <c r="G37" s="5">
        <v>2520</v>
      </c>
      <c r="H37" s="5"/>
      <c r="I37" s="5"/>
      <c r="J37" s="5"/>
      <c r="K37" s="5"/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0</v>
      </c>
      <c r="G38" s="5">
        <v>2310</v>
      </c>
      <c r="H38" s="5"/>
      <c r="I38" s="5"/>
      <c r="J38" s="5"/>
      <c r="K38" s="5"/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384</v>
      </c>
      <c r="G40" s="5">
        <v>320</v>
      </c>
      <c r="H40" s="5">
        <v>320</v>
      </c>
      <c r="I40" s="5"/>
      <c r="J40" s="5"/>
      <c r="K40" s="5"/>
      <c r="L40" s="5"/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1320</v>
      </c>
      <c r="G41" s="5">
        <v>2640</v>
      </c>
      <c r="H41" s="5">
        <v>2640</v>
      </c>
      <c r="I41" s="5"/>
      <c r="J41" s="5"/>
      <c r="K41" s="5"/>
      <c r="L41" s="5"/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260</v>
      </c>
      <c r="G42" s="5">
        <v>200</v>
      </c>
      <c r="H42" s="5"/>
      <c r="I42" s="5"/>
      <c r="J42" s="5"/>
      <c r="K42" s="5"/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/>
      <c r="I43" s="5"/>
      <c r="J43" s="5"/>
      <c r="K43" s="5"/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/>
      <c r="I44" s="5"/>
      <c r="J44" s="5"/>
      <c r="K44" s="5"/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0</v>
      </c>
      <c r="H45" s="5"/>
      <c r="I45" s="5"/>
      <c r="J45" s="5"/>
      <c r="K45" s="5"/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-17500</v>
      </c>
      <c r="H46" s="9"/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C4F6-40B5-4ABE-982F-8017C28D063B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>
        <v>185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34</v>
      </c>
      <c r="G31" s="3">
        <v>10</v>
      </c>
      <c r="H31" s="3"/>
      <c r="I31" s="3"/>
      <c r="J31" s="3"/>
      <c r="K31" s="3"/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>
        <v>26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840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-2800</v>
      </c>
      <c r="H36" s="5"/>
      <c r="I36" s="5"/>
      <c r="J36" s="5"/>
      <c r="K36" s="5"/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0</v>
      </c>
      <c r="G37" s="5">
        <v>2170</v>
      </c>
      <c r="H37" s="5"/>
      <c r="I37" s="5"/>
      <c r="J37" s="5"/>
      <c r="K37" s="5"/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855</v>
      </c>
      <c r="G38" s="5">
        <v>2660</v>
      </c>
      <c r="H38" s="5"/>
      <c r="I38" s="5"/>
      <c r="J38" s="5"/>
      <c r="K38" s="5"/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1536</v>
      </c>
      <c r="G40" s="5">
        <v>640</v>
      </c>
      <c r="H40" s="5">
        <v>640</v>
      </c>
      <c r="I40" s="5"/>
      <c r="J40" s="5"/>
      <c r="K40" s="5"/>
      <c r="L40" s="5"/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128</v>
      </c>
      <c r="G41" s="5">
        <v>80</v>
      </c>
      <c r="H41" s="5"/>
      <c r="I41" s="5"/>
      <c r="J41" s="5"/>
      <c r="K41" s="5"/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780</v>
      </c>
      <c r="G42" s="5">
        <v>600</v>
      </c>
      <c r="H42" s="5"/>
      <c r="I42" s="5"/>
      <c r="J42" s="5"/>
      <c r="K42" s="5"/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/>
      <c r="I43" s="5"/>
      <c r="J43" s="5"/>
      <c r="K43" s="5"/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/>
      <c r="I44" s="5"/>
      <c r="J44" s="5"/>
      <c r="K44" s="5"/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0</v>
      </c>
      <c r="H45" s="5"/>
      <c r="I45" s="5"/>
      <c r="J45" s="5"/>
      <c r="K45" s="5"/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-17500</v>
      </c>
      <c r="H46" s="9"/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3461-A62C-4E84-A672-5E4340D2F50F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>
        <v>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>
        <v>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>
        <v>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0</v>
      </c>
      <c r="G40" s="16">
        <v>1200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>
        <v>0</v>
      </c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/>
      <c r="I42" s="5"/>
      <c r="J42" s="5"/>
      <c r="K42" s="5"/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240000</v>
      </c>
      <c r="G43" s="5">
        <v>-240000</v>
      </c>
      <c r="H43" s="5"/>
      <c r="I43" s="5"/>
      <c r="J43" s="5"/>
      <c r="K43" s="5"/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1440</v>
      </c>
      <c r="H44" s="5"/>
      <c r="I44" s="5"/>
      <c r="J44" s="5"/>
      <c r="K44" s="5"/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0</v>
      </c>
      <c r="G45" s="5">
        <v>3840</v>
      </c>
      <c r="H45" s="5"/>
      <c r="I45" s="5"/>
      <c r="J45" s="5"/>
      <c r="K45" s="5"/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0</v>
      </c>
      <c r="G46" s="5">
        <v>0</v>
      </c>
      <c r="H46" s="5"/>
      <c r="I46" s="5"/>
      <c r="J46" s="5"/>
      <c r="K46" s="5"/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>
        <v>0</v>
      </c>
      <c r="H47" s="5"/>
      <c r="I47" s="5"/>
      <c r="J47" s="5"/>
      <c r="K47" s="5"/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24000</v>
      </c>
      <c r="G48" s="5">
        <v>0</v>
      </c>
      <c r="H48" s="5"/>
      <c r="I48" s="5"/>
      <c r="J48" s="5"/>
      <c r="K48" s="5"/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240000</v>
      </c>
      <c r="G49" s="9">
        <v>-240000</v>
      </c>
      <c r="H49" s="9"/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AD1B-E271-455C-9FAC-E50A2353CDBC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>
        <v>-3.5527136788005009E-15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22676</v>
      </c>
      <c r="G39" s="3">
        <v>-22676</v>
      </c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99.266666666666779</v>
      </c>
      <c r="G40" s="16">
        <v>400.73333333333329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56690</v>
      </c>
      <c r="G41" s="5">
        <v>-56690</v>
      </c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20861.919999999998</v>
      </c>
      <c r="G42" s="9">
        <v>-20861.919999999998</v>
      </c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7D32-8C52-46BE-984E-97CDA1125F96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13476</v>
      </c>
      <c r="G39" s="4">
        <v>-13476</v>
      </c>
      <c r="H39" s="4"/>
      <c r="I39" s="4"/>
      <c r="J39" s="4"/>
      <c r="K39" s="4"/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11.779999999999983</v>
      </c>
      <c r="G40" s="16">
        <v>238.21999999999997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26952</v>
      </c>
      <c r="G41" s="6">
        <v>-26952</v>
      </c>
      <c r="H41" s="6"/>
      <c r="I41" s="6"/>
      <c r="J41" s="6"/>
      <c r="K41" s="6"/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12397.920000000002</v>
      </c>
      <c r="G42" s="9">
        <v>-12397.920000000002</v>
      </c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350C-4DCC-4195-BE70-F76662825361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9431</v>
      </c>
      <c r="G39" s="3">
        <v>-9431</v>
      </c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9.5114285714285955</v>
      </c>
      <c r="G40" s="16">
        <v>140.48857142857142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14146.5</v>
      </c>
      <c r="G41" s="5">
        <v>-14146.5</v>
      </c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7544.8</v>
      </c>
      <c r="G42" s="9">
        <v>-7544.8</v>
      </c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8162-C46E-4857-8779-11350E3C3345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41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22000</v>
      </c>
      <c r="G20" s="5">
        <v>-22000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27200</v>
      </c>
      <c r="G21" s="5">
        <v>-27200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12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779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-22</v>
      </c>
      <c r="H24" s="3"/>
      <c r="I24" s="3"/>
      <c r="J24" s="3"/>
      <c r="K24" s="3"/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17</v>
      </c>
      <c r="G25" s="3">
        <v>-17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-22</v>
      </c>
      <c r="H26" s="3"/>
      <c r="I26" s="3"/>
      <c r="J26" s="3"/>
      <c r="K26" s="3"/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17</v>
      </c>
      <c r="G27" s="3">
        <v>-17</v>
      </c>
      <c r="H27" s="3"/>
      <c r="I27" s="3"/>
      <c r="J27" s="3"/>
      <c r="K27" s="3"/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2939-8426-43E7-B2F3-E39554CC69F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>
        <v>69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15400</v>
      </c>
      <c r="G20" s="5">
        <v>-15400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22100</v>
      </c>
      <c r="G21" s="5">
        <v>-22100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>
        <v>828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38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-22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17</v>
      </c>
      <c r="G25" s="3">
        <v>-17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-22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17</v>
      </c>
      <c r="G27" s="3">
        <v>-17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0D17-B9FD-41C4-8B15-C9DDE665A0EE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55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23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21600</v>
      </c>
      <c r="G20" s="5">
        <v>-21600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19500</v>
      </c>
      <c r="G21" s="5">
        <v>-19500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660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437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24</v>
      </c>
      <c r="G24" s="3">
        <v>-24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13</v>
      </c>
      <c r="G25" s="3">
        <v>-13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24</v>
      </c>
      <c r="G26" s="3">
        <v>-24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13</v>
      </c>
      <c r="G27" s="3">
        <v>-13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5986-A2C8-41DA-AB56-058FDA79653A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>
        <v>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>
        <v>12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19800</v>
      </c>
      <c r="G20" s="5">
        <v>-19800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21000</v>
      </c>
      <c r="G21" s="5">
        <v>-21000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>
        <v>228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>
        <v>228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22</v>
      </c>
      <c r="G24" s="3">
        <v>-22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14</v>
      </c>
      <c r="G25" s="3">
        <v>-14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22</v>
      </c>
      <c r="G26" s="3">
        <v>-22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14</v>
      </c>
      <c r="G27" s="3">
        <v>-14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D1BF-F1DF-412F-AA2A-3F19437C511F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26000</v>
      </c>
      <c r="G20" s="5">
        <v>-26000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27200</v>
      </c>
      <c r="G21" s="5">
        <v>-27200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60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152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26</v>
      </c>
      <c r="G24" s="3">
        <v>-26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17</v>
      </c>
      <c r="G25" s="3">
        <v>-17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26</v>
      </c>
      <c r="G26" s="3">
        <v>-26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17</v>
      </c>
      <c r="G27" s="3">
        <v>-17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6E0F-484A-4439-98E3-8D6501346D7B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>
        <v>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10800</v>
      </c>
      <c r="G20" s="5">
        <v>-10800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16800</v>
      </c>
      <c r="G21" s="5">
        <v>-16800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>
        <v>12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18</v>
      </c>
      <c r="G24" s="3">
        <v>-18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14</v>
      </c>
      <c r="G25" s="3">
        <v>-14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18</v>
      </c>
      <c r="G26" s="3">
        <v>-18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14</v>
      </c>
      <c r="G27" s="3">
        <v>-14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02DF-0C51-45B2-9B53-9A974E08F15C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49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20900</v>
      </c>
      <c r="G20" s="5">
        <v>-20900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23400</v>
      </c>
      <c r="G21" s="5">
        <v>-23400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588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19</v>
      </c>
      <c r="G24" s="3">
        <v>-19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18</v>
      </c>
      <c r="G25" s="3">
        <v>-18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19</v>
      </c>
      <c r="G26" s="3">
        <v>-19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18</v>
      </c>
      <c r="G27" s="3">
        <v>-18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E13F-1AB3-4B93-9C46-A880DF109F0B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11200</v>
      </c>
      <c r="G20" s="5">
        <v>-11200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19500</v>
      </c>
      <c r="G21" s="5">
        <v>-19500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16</v>
      </c>
      <c r="G24" s="3">
        <v>-16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-15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16</v>
      </c>
      <c r="G26" s="3">
        <v>-16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-15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47BB-4DF7-4940-9D60-749F1CE8CE7D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>
        <v>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13600</v>
      </c>
      <c r="G20" s="5">
        <v>-13600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21000</v>
      </c>
      <c r="G21" s="5">
        <v>-21000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>
        <v>152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17</v>
      </c>
      <c r="G24" s="3">
        <v>-17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-15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17</v>
      </c>
      <c r="G26" s="3">
        <v>-17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-15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D134-D7C1-487C-820C-F57C6027C580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24000</v>
      </c>
      <c r="G20" s="5">
        <v>-24000</v>
      </c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24000</v>
      </c>
      <c r="G21" s="5">
        <v>-24000</v>
      </c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72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646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24</v>
      </c>
      <c r="G24" s="3">
        <v>-24</v>
      </c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15</v>
      </c>
      <c r="G25" s="3">
        <v>-15</v>
      </c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24</v>
      </c>
      <c r="G26" s="3">
        <v>-24</v>
      </c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15</v>
      </c>
      <c r="G27" s="3">
        <v>-15</v>
      </c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2665-4ADB-4C05-8E6B-5C79C1DC4272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AE25-710A-4A74-9E97-56D624510FAB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15000</v>
      </c>
      <c r="G23" s="5">
        <v>-15000</v>
      </c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14250</v>
      </c>
      <c r="G24" s="9">
        <v>-14250</v>
      </c>
      <c r="H24" s="9"/>
      <c r="I24" s="9"/>
      <c r="J24" s="9"/>
      <c r="K24" s="9"/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753E-E910-401D-BACC-FD82FD9F9270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/>
      <c r="I42" s="5"/>
      <c r="J42" s="5"/>
      <c r="K42" s="5"/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/>
      <c r="I43" s="5"/>
      <c r="J43" s="5"/>
      <c r="K43" s="5"/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10000</v>
      </c>
      <c r="G44" s="5">
        <v>-10000</v>
      </c>
      <c r="H44" s="5"/>
      <c r="I44" s="5"/>
      <c r="J44" s="5"/>
      <c r="K44" s="5"/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30000</v>
      </c>
      <c r="G45" s="5">
        <v>-30000</v>
      </c>
      <c r="H45" s="5"/>
      <c r="I45" s="5"/>
      <c r="J45" s="5"/>
      <c r="K45" s="5"/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4000</v>
      </c>
      <c r="G46" s="5">
        <v>-4000</v>
      </c>
      <c r="H46" s="5"/>
      <c r="I46" s="5"/>
      <c r="J46" s="5"/>
      <c r="K46" s="5"/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>
        <v>0</v>
      </c>
      <c r="H47" s="9"/>
      <c r="I47" s="9"/>
      <c r="J47" s="9"/>
      <c r="K47" s="9"/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>
        <v>0</v>
      </c>
      <c r="H48" s="9"/>
      <c r="I48" s="9"/>
      <c r="J48" s="9"/>
      <c r="K48" s="9"/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9000</v>
      </c>
      <c r="G49" s="9">
        <v>-9000</v>
      </c>
      <c r="H49" s="9"/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40000</v>
      </c>
      <c r="G50" s="9">
        <v>-40000</v>
      </c>
      <c r="H50" s="9"/>
      <c r="I50" s="9"/>
      <c r="J50" s="9"/>
      <c r="K50" s="9"/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3000</v>
      </c>
      <c r="G51" s="9">
        <v>-3000</v>
      </c>
      <c r="H51" s="9"/>
      <c r="I51" s="9"/>
      <c r="J51" s="9"/>
      <c r="K51" s="9"/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809B-796F-4A02-AF2F-0B42DDA6712B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85F1-0862-4840-AAB0-F71D7AFA42ED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A6D8-5C8B-43E7-9601-493FCC457615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A3EE-F497-4BA4-AE4B-C392464B2627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EAFD-BC31-40AB-982B-591C96539713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8652-BE50-4680-AA8F-B3E99B576406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1FA2-94DE-41A6-8CC2-0D88F8D75089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9C41-ACB2-433D-AB89-5244A270751D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2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>
        <v>66</v>
      </c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 t="s">
        <v>63</v>
      </c>
      <c r="M28" s="95" t="s">
        <v>65</v>
      </c>
      <c r="N28" s="93"/>
      <c r="O28" s="94"/>
      <c r="P28" s="93"/>
      <c r="Q28" s="94">
        <v>20</v>
      </c>
      <c r="R28" s="68"/>
      <c r="S28" s="73" t="b">
        <f t="shared" ref="S28:S52" si="2">OR(AND(T28&lt;&gt;0,U28&lt;&gt;0,U28&lt;&gt;$AD$27),AND(T28=0,U28=0,V28=0,W28=0,X28=0,Y28=0))</f>
        <v>1</v>
      </c>
      <c r="T28" s="93" t="s">
        <v>64</v>
      </c>
      <c r="U28" s="95" t="s">
        <v>65</v>
      </c>
      <c r="V28" s="93">
        <v>24</v>
      </c>
      <c r="W28" s="94"/>
      <c r="X28" s="93"/>
      <c r="Y28" s="94"/>
      <c r="Z28" s="73">
        <f t="shared" ref="Z28:Z52" si="3">IF(AND(T28&lt;&gt;"",U28&lt;&gt;"",U28&lt;&gt;$AD$27),0,1000000000000000)</f>
        <v>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>
        <v>48</v>
      </c>
      <c r="H29" s="93"/>
      <c r="I29" s="94"/>
      <c r="J29" s="68"/>
      <c r="K29" s="73" t="b">
        <f t="shared" si="1"/>
        <v>1</v>
      </c>
      <c r="L29" s="93" t="s">
        <v>63</v>
      </c>
      <c r="M29" s="95" t="s">
        <v>82</v>
      </c>
      <c r="N29" s="93"/>
      <c r="O29" s="94"/>
      <c r="P29" s="93"/>
      <c r="Q29" s="94">
        <v>30</v>
      </c>
      <c r="R29" s="68"/>
      <c r="S29" s="73" t="b">
        <f t="shared" si="2"/>
        <v>1</v>
      </c>
      <c r="T29" s="93" t="s">
        <v>64</v>
      </c>
      <c r="U29" s="95" t="s">
        <v>75</v>
      </c>
      <c r="V29" s="93"/>
      <c r="W29" s="94"/>
      <c r="X29" s="93">
        <v>24</v>
      </c>
      <c r="Y29" s="94"/>
      <c r="Z29" s="73">
        <f t="shared" si="3"/>
        <v>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 t="s">
        <v>63</v>
      </c>
      <c r="M30" s="95" t="s">
        <v>39</v>
      </c>
      <c r="N30" s="93"/>
      <c r="O30" s="94">
        <v>15</v>
      </c>
      <c r="P30" s="93"/>
      <c r="Q30" s="94"/>
      <c r="R30" s="68"/>
      <c r="S30" s="73" t="b">
        <f t="shared" si="2"/>
        <v>1</v>
      </c>
      <c r="T30" s="93" t="s">
        <v>64</v>
      </c>
      <c r="U30" s="95" t="s">
        <v>65</v>
      </c>
      <c r="V30" s="93">
        <v>3</v>
      </c>
      <c r="W30" s="94"/>
      <c r="X30" s="93"/>
      <c r="Y30" s="94"/>
      <c r="Z30" s="73">
        <f t="shared" si="3"/>
        <v>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52</v>
      </c>
      <c r="E31" s="95" t="s">
        <v>65</v>
      </c>
      <c r="F31" s="93"/>
      <c r="G31" s="94"/>
      <c r="H31" s="93">
        <v>66</v>
      </c>
      <c r="I31" s="94"/>
      <c r="J31" s="68"/>
      <c r="K31" s="73" t="b">
        <f t="shared" si="1"/>
        <v>1</v>
      </c>
      <c r="L31" s="93" t="s">
        <v>52</v>
      </c>
      <c r="M31" s="95" t="s">
        <v>81</v>
      </c>
      <c r="N31" s="93"/>
      <c r="O31" s="94"/>
      <c r="P31" s="93">
        <v>19</v>
      </c>
      <c r="Q31" s="94"/>
      <c r="R31" s="68"/>
      <c r="S31" s="73" t="b">
        <f t="shared" si="2"/>
        <v>1</v>
      </c>
      <c r="T31" s="93" t="s">
        <v>64</v>
      </c>
      <c r="U31" s="95" t="s">
        <v>39</v>
      </c>
      <c r="V31" s="93"/>
      <c r="W31" s="94">
        <v>21</v>
      </c>
      <c r="X31" s="93"/>
      <c r="Y31" s="94"/>
      <c r="Z31" s="73">
        <f t="shared" si="3"/>
        <v>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52</v>
      </c>
      <c r="E32" s="95" t="s">
        <v>39</v>
      </c>
      <c r="F32" s="93"/>
      <c r="G32" s="94">
        <v>50</v>
      </c>
      <c r="H32" s="93"/>
      <c r="I32" s="94"/>
      <c r="J32" s="68"/>
      <c r="K32" s="73" t="b">
        <f t="shared" si="1"/>
        <v>1</v>
      </c>
      <c r="L32" s="93" t="s">
        <v>52</v>
      </c>
      <c r="M32" s="95" t="s">
        <v>80</v>
      </c>
      <c r="N32" s="93"/>
      <c r="O32" s="94"/>
      <c r="P32" s="93">
        <v>18</v>
      </c>
      <c r="Q32" s="94"/>
      <c r="R32" s="68"/>
      <c r="S32" s="73" t="b">
        <f t="shared" si="2"/>
        <v>1</v>
      </c>
      <c r="T32" s="93" t="s">
        <v>64</v>
      </c>
      <c r="U32" s="95" t="s">
        <v>75</v>
      </c>
      <c r="V32" s="93"/>
      <c r="W32" s="94"/>
      <c r="X32" s="93">
        <v>3</v>
      </c>
      <c r="Y32" s="94">
        <v>21</v>
      </c>
      <c r="Z32" s="73">
        <f t="shared" si="3"/>
        <v>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52</v>
      </c>
      <c r="E33" s="95" t="s">
        <v>82</v>
      </c>
      <c r="F33" s="93"/>
      <c r="G33" s="94"/>
      <c r="H33" s="93"/>
      <c r="I33" s="94">
        <v>15</v>
      </c>
      <c r="J33" s="68"/>
      <c r="K33" s="73" t="b">
        <f t="shared" si="1"/>
        <v>1</v>
      </c>
      <c r="L33" s="93" t="s">
        <v>52</v>
      </c>
      <c r="M33" s="95" t="s">
        <v>74</v>
      </c>
      <c r="N33" s="93"/>
      <c r="O33" s="94"/>
      <c r="P33" s="93">
        <v>24</v>
      </c>
      <c r="Q33" s="94"/>
      <c r="R33" s="68"/>
      <c r="S33" s="73" t="b">
        <f t="shared" si="2"/>
        <v>1</v>
      </c>
      <c r="T33" s="93" t="s">
        <v>64</v>
      </c>
      <c r="U33" s="95" t="s">
        <v>65</v>
      </c>
      <c r="V33" s="93"/>
      <c r="W33" s="94"/>
      <c r="X33" s="93"/>
      <c r="Y33" s="94"/>
      <c r="Z33" s="73">
        <f t="shared" si="3"/>
        <v>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52</v>
      </c>
      <c r="E34" s="95" t="s">
        <v>74</v>
      </c>
      <c r="F34" s="93"/>
      <c r="G34" s="94"/>
      <c r="H34" s="93"/>
      <c r="I34" s="94">
        <v>17</v>
      </c>
      <c r="J34" s="68"/>
      <c r="K34" s="73" t="b">
        <f t="shared" si="1"/>
        <v>1</v>
      </c>
      <c r="L34" s="93" t="s">
        <v>52</v>
      </c>
      <c r="M34" s="95" t="s">
        <v>82</v>
      </c>
      <c r="N34" s="93"/>
      <c r="O34" s="94"/>
      <c r="P34" s="93">
        <v>5</v>
      </c>
      <c r="Q34" s="94"/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52</v>
      </c>
      <c r="E35" s="95" t="s">
        <v>80</v>
      </c>
      <c r="F35" s="93"/>
      <c r="G35" s="94"/>
      <c r="H35" s="93"/>
      <c r="I35" s="94">
        <v>18</v>
      </c>
      <c r="J35" s="68"/>
      <c r="K35" s="73" t="b">
        <f t="shared" si="1"/>
        <v>1</v>
      </c>
      <c r="L35" s="93" t="s">
        <v>52</v>
      </c>
      <c r="M35" s="95" t="s">
        <v>14</v>
      </c>
      <c r="N35" s="93">
        <v>66</v>
      </c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52</v>
      </c>
      <c r="E36" s="95" t="s">
        <v>14</v>
      </c>
      <c r="F36" s="93">
        <v>66</v>
      </c>
      <c r="G36" s="94"/>
      <c r="H36" s="93"/>
      <c r="I36" s="94"/>
      <c r="J36" s="68"/>
      <c r="K36" s="73" t="b">
        <f t="shared" si="1"/>
        <v>1</v>
      </c>
      <c r="L36" s="93" t="s">
        <v>64</v>
      </c>
      <c r="M36" s="95" t="s">
        <v>39</v>
      </c>
      <c r="N36" s="93"/>
      <c r="O36" s="94">
        <v>4</v>
      </c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/>
      <c r="E37" s="95"/>
      <c r="F37" s="93"/>
      <c r="G37" s="94"/>
      <c r="H37" s="93"/>
      <c r="I37" s="94"/>
      <c r="J37" s="68"/>
      <c r="K37" s="73" t="b">
        <f t="shared" si="1"/>
        <v>1</v>
      </c>
      <c r="L37" s="93" t="s">
        <v>64</v>
      </c>
      <c r="M37" s="95" t="s">
        <v>14</v>
      </c>
      <c r="N37" s="93">
        <v>20</v>
      </c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/>
      <c r="E38" s="95"/>
      <c r="F38" s="93"/>
      <c r="G38" s="94"/>
      <c r="H38" s="93"/>
      <c r="I38" s="94"/>
      <c r="J38" s="68"/>
      <c r="K38" s="73" t="b">
        <f t="shared" si="1"/>
        <v>1</v>
      </c>
      <c r="L38" s="93" t="s">
        <v>64</v>
      </c>
      <c r="M38" s="95" t="s">
        <v>82</v>
      </c>
      <c r="N38" s="93"/>
      <c r="O38" s="94"/>
      <c r="P38" s="93">
        <v>20</v>
      </c>
      <c r="Q38" s="94">
        <v>4</v>
      </c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/>
      <c r="E39" s="95"/>
      <c r="F39" s="93"/>
      <c r="G39" s="94"/>
      <c r="H39" s="93"/>
      <c r="I39" s="94"/>
      <c r="J39" s="68"/>
      <c r="K39" s="73" t="b">
        <f t="shared" si="1"/>
        <v>1</v>
      </c>
      <c r="L39" s="93" t="s">
        <v>64</v>
      </c>
      <c r="M39" s="95" t="s">
        <v>65</v>
      </c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/>
      <c r="E40" s="95"/>
      <c r="F40" s="93"/>
      <c r="G40" s="94"/>
      <c r="H40" s="93"/>
      <c r="I40" s="94"/>
      <c r="J40" s="68"/>
      <c r="K40" s="73" t="b">
        <f t="shared" si="1"/>
        <v>1</v>
      </c>
      <c r="L40" s="93" t="s">
        <v>52</v>
      </c>
      <c r="M40" s="95" t="s">
        <v>79</v>
      </c>
      <c r="N40" s="93"/>
      <c r="O40" s="94"/>
      <c r="P40" s="93">
        <v>66</v>
      </c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/>
      <c r="E41" s="95"/>
      <c r="F41" s="93"/>
      <c r="G41" s="94"/>
      <c r="H41" s="93"/>
      <c r="I41" s="94"/>
      <c r="J41" s="68"/>
      <c r="K41" s="73" t="b">
        <f t="shared" si="1"/>
        <v>1</v>
      </c>
      <c r="L41" s="93" t="s">
        <v>52</v>
      </c>
      <c r="M41" s="95" t="s">
        <v>14</v>
      </c>
      <c r="N41" s="93">
        <v>66</v>
      </c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63</v>
      </c>
      <c r="E42" s="95" t="s">
        <v>65</v>
      </c>
      <c r="F42" s="93">
        <v>16</v>
      </c>
      <c r="G42" s="94"/>
      <c r="H42" s="93"/>
      <c r="I42" s="94">
        <v>12</v>
      </c>
      <c r="J42" s="68"/>
      <c r="K42" s="73" t="b">
        <f t="shared" si="1"/>
        <v>1</v>
      </c>
      <c r="L42" s="93" t="s">
        <v>52</v>
      </c>
      <c r="M42" s="95" t="s">
        <v>74</v>
      </c>
      <c r="N42" s="93"/>
      <c r="O42" s="94"/>
      <c r="P42" s="93">
        <v>66</v>
      </c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63</v>
      </c>
      <c r="E43" s="95" t="s">
        <v>78</v>
      </c>
      <c r="F43" s="93"/>
      <c r="G43" s="94"/>
      <c r="H43" s="93">
        <v>16</v>
      </c>
      <c r="I43" s="94">
        <v>17</v>
      </c>
      <c r="J43" s="68"/>
      <c r="K43" s="73" t="b">
        <f t="shared" si="1"/>
        <v>1</v>
      </c>
      <c r="L43" s="93" t="s">
        <v>63</v>
      </c>
      <c r="M43" s="95" t="s">
        <v>14</v>
      </c>
      <c r="N43" s="93">
        <v>50</v>
      </c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63</v>
      </c>
      <c r="E44" s="95" t="s">
        <v>79</v>
      </c>
      <c r="F44" s="93"/>
      <c r="G44" s="94"/>
      <c r="H44" s="93"/>
      <c r="I44" s="94">
        <v>21</v>
      </c>
      <c r="J44" s="68"/>
      <c r="K44" s="73" t="b">
        <f t="shared" si="1"/>
        <v>1</v>
      </c>
      <c r="L44" s="93" t="s">
        <v>63</v>
      </c>
      <c r="M44" s="95" t="s">
        <v>75</v>
      </c>
      <c r="N44" s="93"/>
      <c r="O44" s="94"/>
      <c r="P44" s="93">
        <v>50</v>
      </c>
      <c r="Q44" s="94">
        <v>15</v>
      </c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63</v>
      </c>
      <c r="E45" s="95" t="s">
        <v>39</v>
      </c>
      <c r="F45" s="93"/>
      <c r="G45" s="94">
        <v>50</v>
      </c>
      <c r="H45" s="93"/>
      <c r="I45" s="94"/>
      <c r="J45" s="68"/>
      <c r="K45" s="73" t="b">
        <f t="shared" si="1"/>
        <v>1</v>
      </c>
      <c r="L45" s="93" t="s">
        <v>63</v>
      </c>
      <c r="M45" s="95" t="s">
        <v>39</v>
      </c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52</v>
      </c>
      <c r="E46" s="95" t="s">
        <v>77</v>
      </c>
      <c r="F46" s="93"/>
      <c r="G46" s="94"/>
      <c r="H46" s="93">
        <v>31</v>
      </c>
      <c r="I46" s="94"/>
      <c r="J46" s="68"/>
      <c r="K46" s="73" t="b">
        <f t="shared" si="1"/>
        <v>1</v>
      </c>
      <c r="L46" s="93" t="s">
        <v>64</v>
      </c>
      <c r="M46" s="95" t="s">
        <v>39</v>
      </c>
      <c r="N46" s="93"/>
      <c r="O46" s="94">
        <v>24</v>
      </c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52</v>
      </c>
      <c r="E47" s="95" t="s">
        <v>76</v>
      </c>
      <c r="F47" s="93"/>
      <c r="G47" s="94"/>
      <c r="H47" s="93">
        <v>30</v>
      </c>
      <c r="I47" s="94"/>
      <c r="J47" s="68"/>
      <c r="K47" s="73" t="b">
        <f t="shared" si="1"/>
        <v>1</v>
      </c>
      <c r="L47" s="93" t="s">
        <v>64</v>
      </c>
      <c r="M47" s="95" t="s">
        <v>65</v>
      </c>
      <c r="N47" s="93"/>
      <c r="O47" s="94"/>
      <c r="P47" s="93"/>
      <c r="Q47" s="94">
        <v>24</v>
      </c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 t="s">
        <v>52</v>
      </c>
      <c r="E48" s="95" t="s">
        <v>82</v>
      </c>
      <c r="F48" s="93"/>
      <c r="G48" s="94"/>
      <c r="H48" s="93">
        <v>5</v>
      </c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 t="s">
        <v>52</v>
      </c>
      <c r="E49" s="95" t="s">
        <v>14</v>
      </c>
      <c r="F49" s="93">
        <v>66</v>
      </c>
      <c r="G49" s="94"/>
      <c r="H49" s="93"/>
      <c r="I49" s="94"/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 t="s">
        <v>63</v>
      </c>
      <c r="E50" s="95" t="s">
        <v>77</v>
      </c>
      <c r="F50" s="93"/>
      <c r="G50" s="94"/>
      <c r="H50" s="93"/>
      <c r="I50" s="94">
        <v>25</v>
      </c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 t="s">
        <v>63</v>
      </c>
      <c r="E51" s="95" t="s">
        <v>76</v>
      </c>
      <c r="F51" s="93"/>
      <c r="G51" s="94"/>
      <c r="H51" s="93"/>
      <c r="I51" s="94">
        <v>22</v>
      </c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 t="s">
        <v>63</v>
      </c>
      <c r="E52" s="100" t="s">
        <v>39</v>
      </c>
      <c r="F52" s="99"/>
      <c r="G52" s="101">
        <v>47</v>
      </c>
      <c r="H52" s="99"/>
      <c r="I52" s="101"/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7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>
        <v>7</v>
      </c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7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7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0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0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10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10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10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>
        <v>60</v>
      </c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>
        <v>5</v>
      </c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>
        <v>10</v>
      </c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24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0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0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0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2F9960CD-62E2-4E3E-8240-93CA74548C50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6D1B8A58-1F53-4BE9-BECD-A5663C0EDF87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E22D23EF-171B-4B7C-9202-1B914BF72BD0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DF78A3A5-0BF2-48AB-A780-B59779A24726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EA58F9DC-E49A-456C-A33E-97E7C89BF905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A14927BB-17E5-48CE-97E5-E438985A0BAE}">
      <formula1>0</formula1>
    </dataValidation>
    <dataValidation type="list" allowBlank="1" showInputMessage="1" showErrorMessage="1" sqref="T28:T52 D29:D52 L28:L52" xr:uid="{D03CFE28-6857-4D78-AC14-4913D9077D64}">
      <formula1>$AB$27:$AB$30</formula1>
    </dataValidation>
    <dataValidation type="list" allowBlank="1" showInputMessage="1" showErrorMessage="1" sqref="D28" xr:uid="{E8CC29C4-C3A7-479B-B22B-4D178613122A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B311-18D1-4D7C-815A-DC8B3D240D5C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3</v>
      </c>
    </row>
    <row r="2" spans="1:16" x14ac:dyDescent="0.25">
      <c r="A2" s="22" t="s">
        <v>349</v>
      </c>
      <c r="B2" s="22">
        <v>2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  <c r="F7" s="7">
        <v>-55172</v>
      </c>
    </row>
    <row r="8" spans="1:16" x14ac:dyDescent="0.25">
      <c r="A8" s="22" t="s">
        <v>13</v>
      </c>
      <c r="D8" s="11"/>
      <c r="E8" s="11">
        <v>340808.32</v>
      </c>
      <c r="F8" s="11">
        <v>722862.9600000002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  <c r="F11" s="125">
        <v>24</v>
      </c>
    </row>
    <row r="12" spans="1:16" x14ac:dyDescent="0.25">
      <c r="A12" s="22" t="s">
        <v>27</v>
      </c>
      <c r="D12" s="2">
        <v>60</v>
      </c>
      <c r="E12" s="2">
        <v>60</v>
      </c>
      <c r="F12" s="125">
        <v>96</v>
      </c>
    </row>
    <row r="13" spans="1:16" x14ac:dyDescent="0.25">
      <c r="A13" s="22" t="s">
        <v>31</v>
      </c>
      <c r="D13" s="2">
        <v>5</v>
      </c>
      <c r="E13" s="2">
        <v>8</v>
      </c>
      <c r="F13" s="125">
        <v>8</v>
      </c>
    </row>
    <row r="14" spans="1:16" x14ac:dyDescent="0.25">
      <c r="A14" s="22" t="s">
        <v>19</v>
      </c>
      <c r="D14" s="126"/>
      <c r="E14" s="126">
        <v>0</v>
      </c>
      <c r="F14" s="126">
        <v>0</v>
      </c>
    </row>
    <row r="15" spans="1:16" x14ac:dyDescent="0.25">
      <c r="A15" s="22" t="s">
        <v>50</v>
      </c>
      <c r="D15" s="7"/>
      <c r="E15" s="7">
        <v>0</v>
      </c>
      <c r="F15" s="7">
        <v>0</v>
      </c>
    </row>
    <row r="16" spans="1:16" x14ac:dyDescent="0.25">
      <c r="A16" s="22" t="s">
        <v>51</v>
      </c>
      <c r="D16" s="7"/>
      <c r="E16" s="7">
        <v>0</v>
      </c>
      <c r="F16" s="7">
        <v>0</v>
      </c>
    </row>
    <row r="17" spans="1:6" x14ac:dyDescent="0.25">
      <c r="A17" s="22" t="s">
        <v>20</v>
      </c>
      <c r="D17" s="7"/>
      <c r="E17" s="7">
        <v>150000</v>
      </c>
      <c r="F17" s="7">
        <v>240000</v>
      </c>
    </row>
    <row r="18" spans="1:6" x14ac:dyDescent="0.25">
      <c r="A18" s="22" t="s">
        <v>28</v>
      </c>
      <c r="D18" s="7"/>
      <c r="E18" s="7">
        <v>0</v>
      </c>
      <c r="F18" s="7">
        <v>0</v>
      </c>
    </row>
    <row r="19" spans="1:6" x14ac:dyDescent="0.25">
      <c r="A19" s="22" t="s">
        <v>29</v>
      </c>
      <c r="D19" s="7"/>
      <c r="E19" s="7">
        <v>0</v>
      </c>
      <c r="F19" s="7">
        <v>0</v>
      </c>
    </row>
    <row r="20" spans="1:6" x14ac:dyDescent="0.25">
      <c r="A20" s="22" t="s">
        <v>32</v>
      </c>
      <c r="D20" s="7"/>
      <c r="E20" s="7">
        <v>6000</v>
      </c>
      <c r="F20" s="7">
        <v>0</v>
      </c>
    </row>
    <row r="21" spans="1:6" x14ac:dyDescent="0.25">
      <c r="A21" s="22" t="s">
        <v>35</v>
      </c>
      <c r="D21" s="7"/>
      <c r="E21" s="7">
        <v>0</v>
      </c>
      <c r="F21" s="7">
        <v>0</v>
      </c>
    </row>
    <row r="22" spans="1:6" x14ac:dyDescent="0.25">
      <c r="A22" s="22" t="s">
        <v>33</v>
      </c>
      <c r="D22" s="7"/>
      <c r="E22" s="7">
        <v>15000</v>
      </c>
      <c r="F22" s="7">
        <v>24000</v>
      </c>
    </row>
    <row r="23" spans="1:6" x14ac:dyDescent="0.25">
      <c r="A23" s="22" t="s">
        <v>21</v>
      </c>
      <c r="D23" s="11"/>
      <c r="E23" s="11">
        <v>150000</v>
      </c>
      <c r="F23" s="11">
        <v>240000</v>
      </c>
    </row>
    <row r="25" spans="1:6" x14ac:dyDescent="0.25">
      <c r="A25" s="124" t="s">
        <v>86</v>
      </c>
    </row>
    <row r="26" spans="1:6" x14ac:dyDescent="0.25">
      <c r="A26" s="22" t="s">
        <v>104</v>
      </c>
      <c r="D26" s="7"/>
      <c r="E26" s="7">
        <v>15000</v>
      </c>
      <c r="F26" s="7">
        <v>15000</v>
      </c>
    </row>
    <row r="27" spans="1:6" x14ac:dyDescent="0.25">
      <c r="A27" s="22" t="s">
        <v>21</v>
      </c>
      <c r="D27" s="11"/>
      <c r="E27" s="11">
        <v>14250</v>
      </c>
      <c r="F27" s="11">
        <v>14250</v>
      </c>
    </row>
    <row r="29" spans="1:6" x14ac:dyDescent="0.25">
      <c r="A29" s="124" t="s">
        <v>88</v>
      </c>
    </row>
    <row r="30" spans="1:6" x14ac:dyDescent="0.25">
      <c r="A30" s="22" t="s">
        <v>108</v>
      </c>
      <c r="D30" s="7"/>
      <c r="E30" s="7">
        <v>0</v>
      </c>
      <c r="F30" s="7">
        <v>0</v>
      </c>
    </row>
    <row r="31" spans="1:6" x14ac:dyDescent="0.25">
      <c r="A31" s="22" t="s">
        <v>111</v>
      </c>
      <c r="D31" s="7"/>
      <c r="E31" s="7">
        <v>0</v>
      </c>
      <c r="F31" s="7">
        <v>0</v>
      </c>
    </row>
    <row r="32" spans="1:6" x14ac:dyDescent="0.25">
      <c r="A32" s="22" t="s">
        <v>115</v>
      </c>
      <c r="D32" s="7"/>
      <c r="E32" s="7">
        <v>20000</v>
      </c>
      <c r="F32" s="7">
        <v>10000</v>
      </c>
    </row>
    <row r="33" spans="1:6" x14ac:dyDescent="0.25">
      <c r="A33" s="22" t="s">
        <v>118</v>
      </c>
      <c r="D33" s="7"/>
      <c r="E33" s="7">
        <v>60000</v>
      </c>
      <c r="F33" s="7">
        <v>30000</v>
      </c>
    </row>
    <row r="34" spans="1:6" x14ac:dyDescent="0.25">
      <c r="A34" s="22" t="s">
        <v>121</v>
      </c>
      <c r="D34" s="7"/>
      <c r="E34" s="7">
        <v>8000</v>
      </c>
      <c r="F34" s="7">
        <v>4000</v>
      </c>
    </row>
    <row r="35" spans="1:6" x14ac:dyDescent="0.25">
      <c r="A35" s="22" t="s">
        <v>109</v>
      </c>
      <c r="D35" s="11"/>
      <c r="E35" s="11">
        <v>0</v>
      </c>
      <c r="F35" s="11">
        <v>0</v>
      </c>
    </row>
    <row r="36" spans="1:6" x14ac:dyDescent="0.25">
      <c r="A36" s="22" t="s">
        <v>112</v>
      </c>
      <c r="D36" s="11"/>
      <c r="E36" s="11">
        <v>0</v>
      </c>
      <c r="F36" s="11">
        <v>0</v>
      </c>
    </row>
    <row r="37" spans="1:6" x14ac:dyDescent="0.25">
      <c r="A37" s="22" t="s">
        <v>116</v>
      </c>
      <c r="D37" s="11"/>
      <c r="E37" s="11">
        <v>18000</v>
      </c>
      <c r="F37" s="11">
        <v>9000</v>
      </c>
    </row>
    <row r="38" spans="1:6" x14ac:dyDescent="0.25">
      <c r="A38" s="22" t="s">
        <v>119</v>
      </c>
      <c r="D38" s="11"/>
      <c r="E38" s="11">
        <v>80000</v>
      </c>
      <c r="F38" s="11">
        <v>40000</v>
      </c>
    </row>
    <row r="39" spans="1:6" x14ac:dyDescent="0.25">
      <c r="A39" s="22" t="s">
        <v>122</v>
      </c>
      <c r="D39" s="11"/>
      <c r="E39" s="11">
        <v>6000</v>
      </c>
      <c r="F39" s="11">
        <v>3000</v>
      </c>
    </row>
    <row r="41" spans="1:6" x14ac:dyDescent="0.25">
      <c r="A41" s="124" t="s">
        <v>14</v>
      </c>
    </row>
    <row r="42" spans="1:6" x14ac:dyDescent="0.25">
      <c r="A42" s="22" t="s">
        <v>16</v>
      </c>
      <c r="D42" s="2">
        <v>300</v>
      </c>
      <c r="E42" s="2">
        <v>472</v>
      </c>
      <c r="F42" s="125">
        <v>282</v>
      </c>
    </row>
    <row r="43" spans="1:6" x14ac:dyDescent="0.25">
      <c r="A43" s="22" t="s">
        <v>17</v>
      </c>
      <c r="D43" s="2">
        <v>10</v>
      </c>
      <c r="E43" s="2">
        <v>7</v>
      </c>
      <c r="F43" s="125">
        <v>7</v>
      </c>
    </row>
    <row r="44" spans="1:6" x14ac:dyDescent="0.25">
      <c r="A44" s="22" t="s">
        <v>37</v>
      </c>
      <c r="D44" s="2">
        <v>0</v>
      </c>
      <c r="E44" s="2">
        <v>0</v>
      </c>
      <c r="F44" s="125">
        <v>0</v>
      </c>
    </row>
    <row r="45" spans="1:6" x14ac:dyDescent="0.25">
      <c r="A45" s="22" t="s">
        <v>26</v>
      </c>
      <c r="D45" s="2">
        <v>10</v>
      </c>
      <c r="E45" s="2">
        <v>13</v>
      </c>
      <c r="F45" s="125">
        <v>11</v>
      </c>
    </row>
    <row r="46" spans="1:6" x14ac:dyDescent="0.25">
      <c r="A46" s="22" t="s">
        <v>27</v>
      </c>
      <c r="D46" s="2">
        <v>50</v>
      </c>
      <c r="E46" s="2">
        <v>65</v>
      </c>
      <c r="F46" s="125">
        <v>90</v>
      </c>
    </row>
    <row r="47" spans="1:6" x14ac:dyDescent="0.25">
      <c r="A47" s="22" t="s">
        <v>18</v>
      </c>
      <c r="D47" s="2">
        <v>10</v>
      </c>
      <c r="E47" s="2">
        <v>20</v>
      </c>
      <c r="F47" s="125">
        <v>23</v>
      </c>
    </row>
    <row r="48" spans="1:6" x14ac:dyDescent="0.25">
      <c r="A48" s="22" t="s">
        <v>31</v>
      </c>
      <c r="D48" s="2">
        <v>6</v>
      </c>
      <c r="E48" s="2">
        <v>6</v>
      </c>
      <c r="F48" s="125">
        <v>6</v>
      </c>
    </row>
    <row r="49" spans="1:6" x14ac:dyDescent="0.25">
      <c r="A49" s="22" t="s">
        <v>19</v>
      </c>
      <c r="D49" s="126"/>
      <c r="E49" s="126">
        <v>0</v>
      </c>
      <c r="F49" s="126">
        <v>60</v>
      </c>
    </row>
    <row r="50" spans="1:6" x14ac:dyDescent="0.25">
      <c r="A50" s="22" t="s">
        <v>20</v>
      </c>
      <c r="D50" s="7"/>
      <c r="E50" s="7">
        <v>3100</v>
      </c>
      <c r="F50" s="7">
        <v>2800</v>
      </c>
    </row>
    <row r="51" spans="1:6" x14ac:dyDescent="0.25">
      <c r="A51" s="22" t="s">
        <v>22</v>
      </c>
      <c r="D51" s="7"/>
      <c r="E51" s="7">
        <v>2064</v>
      </c>
      <c r="F51" s="7">
        <v>864</v>
      </c>
    </row>
    <row r="52" spans="1:6" x14ac:dyDescent="0.25">
      <c r="A52" s="22" t="s">
        <v>23</v>
      </c>
      <c r="D52" s="7"/>
      <c r="E52" s="7">
        <v>0</v>
      </c>
      <c r="F52" s="7">
        <v>0</v>
      </c>
    </row>
    <row r="53" spans="1:6" x14ac:dyDescent="0.25">
      <c r="A53" s="22" t="s">
        <v>38</v>
      </c>
      <c r="D53" s="7"/>
      <c r="E53" s="7">
        <v>0</v>
      </c>
      <c r="F53" s="7">
        <v>0</v>
      </c>
    </row>
    <row r="54" spans="1:6" x14ac:dyDescent="0.25">
      <c r="A54" s="22" t="s">
        <v>28</v>
      </c>
      <c r="D54" s="7"/>
      <c r="E54" s="7">
        <v>192</v>
      </c>
      <c r="F54" s="7">
        <v>384</v>
      </c>
    </row>
    <row r="55" spans="1:6" x14ac:dyDescent="0.25">
      <c r="A55" s="22" t="s">
        <v>29</v>
      </c>
      <c r="D55" s="7"/>
      <c r="E55" s="7">
        <v>660</v>
      </c>
      <c r="F55" s="7">
        <v>1320</v>
      </c>
    </row>
    <row r="56" spans="1:6" x14ac:dyDescent="0.25">
      <c r="A56" s="22" t="s">
        <v>24</v>
      </c>
      <c r="D56" s="7"/>
      <c r="E56" s="7">
        <v>0</v>
      </c>
      <c r="F56" s="7">
        <v>260</v>
      </c>
    </row>
    <row r="57" spans="1:6" x14ac:dyDescent="0.25">
      <c r="A57" s="22" t="s">
        <v>32</v>
      </c>
      <c r="D57" s="7"/>
      <c r="E57" s="7">
        <v>0</v>
      </c>
      <c r="F57" s="7">
        <v>0</v>
      </c>
    </row>
    <row r="58" spans="1:6" x14ac:dyDescent="0.25">
      <c r="A58" s="22" t="s">
        <v>35</v>
      </c>
      <c r="D58" s="7"/>
      <c r="E58" s="7">
        <v>0</v>
      </c>
      <c r="F58" s="7">
        <v>0</v>
      </c>
    </row>
    <row r="59" spans="1:6" x14ac:dyDescent="0.25">
      <c r="A59" s="22" t="s">
        <v>33</v>
      </c>
      <c r="D59" s="7"/>
      <c r="E59" s="7">
        <v>18000</v>
      </c>
      <c r="F59" s="7">
        <v>18000</v>
      </c>
    </row>
    <row r="60" spans="1:6" x14ac:dyDescent="0.25">
      <c r="A60" s="22" t="s">
        <v>21</v>
      </c>
      <c r="D60" s="11"/>
      <c r="E60" s="11">
        <v>19000</v>
      </c>
      <c r="F60" s="11">
        <v>17500</v>
      </c>
    </row>
    <row r="62" spans="1:6" x14ac:dyDescent="0.25">
      <c r="A62" s="124" t="s">
        <v>39</v>
      </c>
    </row>
    <row r="63" spans="1:6" x14ac:dyDescent="0.25">
      <c r="A63" s="22" t="s">
        <v>37</v>
      </c>
      <c r="D63" s="2">
        <v>200</v>
      </c>
      <c r="E63" s="2">
        <v>304</v>
      </c>
      <c r="F63" s="125">
        <v>185</v>
      </c>
    </row>
    <row r="64" spans="1:6" x14ac:dyDescent="0.25">
      <c r="A64" s="22" t="s">
        <v>40</v>
      </c>
      <c r="D64" s="2">
        <v>10</v>
      </c>
      <c r="E64" s="2">
        <v>7</v>
      </c>
      <c r="F64" s="125">
        <v>7</v>
      </c>
    </row>
    <row r="65" spans="1:6" x14ac:dyDescent="0.25">
      <c r="A65" s="22" t="s">
        <v>16</v>
      </c>
      <c r="D65" s="2">
        <v>0</v>
      </c>
      <c r="E65" s="2">
        <v>0</v>
      </c>
      <c r="F65" s="125">
        <v>0</v>
      </c>
    </row>
    <row r="66" spans="1:6" x14ac:dyDescent="0.25">
      <c r="A66" s="22" t="s">
        <v>26</v>
      </c>
      <c r="D66" s="2">
        <v>40</v>
      </c>
      <c r="E66" s="2">
        <v>52</v>
      </c>
      <c r="F66" s="125">
        <v>34</v>
      </c>
    </row>
    <row r="67" spans="1:6" x14ac:dyDescent="0.25">
      <c r="A67" s="22" t="s">
        <v>45</v>
      </c>
      <c r="D67" s="2">
        <v>10</v>
      </c>
      <c r="E67" s="2">
        <v>23</v>
      </c>
      <c r="F67" s="125">
        <v>26</v>
      </c>
    </row>
    <row r="68" spans="1:6" x14ac:dyDescent="0.25">
      <c r="A68" s="22" t="s">
        <v>41</v>
      </c>
      <c r="D68" s="2">
        <v>10</v>
      </c>
      <c r="E68" s="2">
        <v>20</v>
      </c>
      <c r="F68" s="125">
        <v>23</v>
      </c>
    </row>
    <row r="69" spans="1:6" x14ac:dyDescent="0.25">
      <c r="A69" s="22" t="s">
        <v>31</v>
      </c>
      <c r="D69" s="2">
        <v>6</v>
      </c>
      <c r="E69" s="2">
        <v>6</v>
      </c>
      <c r="F69" s="125">
        <v>6</v>
      </c>
    </row>
    <row r="70" spans="1:6" x14ac:dyDescent="0.25">
      <c r="A70" s="22" t="s">
        <v>19</v>
      </c>
      <c r="D70" s="126"/>
      <c r="E70" s="126">
        <v>0</v>
      </c>
      <c r="F70" s="126">
        <v>60</v>
      </c>
    </row>
    <row r="71" spans="1:6" x14ac:dyDescent="0.25">
      <c r="A71" s="22" t="s">
        <v>20</v>
      </c>
      <c r="D71" s="7"/>
      <c r="E71" s="7">
        <v>3100</v>
      </c>
      <c r="F71" s="7">
        <v>2800</v>
      </c>
    </row>
    <row r="72" spans="1:6" x14ac:dyDescent="0.25">
      <c r="A72" s="22" t="s">
        <v>42</v>
      </c>
      <c r="D72" s="7"/>
      <c r="E72" s="7">
        <v>0</v>
      </c>
      <c r="F72" s="7">
        <v>0</v>
      </c>
    </row>
    <row r="73" spans="1:6" x14ac:dyDescent="0.25">
      <c r="A73" s="22" t="s">
        <v>38</v>
      </c>
      <c r="D73" s="7"/>
      <c r="E73" s="7">
        <v>1976</v>
      </c>
      <c r="F73" s="7">
        <v>855</v>
      </c>
    </row>
    <row r="74" spans="1:6" x14ac:dyDescent="0.25">
      <c r="A74" s="22" t="s">
        <v>22</v>
      </c>
      <c r="D74" s="7"/>
      <c r="E74" s="7">
        <v>0</v>
      </c>
      <c r="F74" s="7">
        <v>0</v>
      </c>
    </row>
    <row r="75" spans="1:6" x14ac:dyDescent="0.25">
      <c r="A75" s="22" t="s">
        <v>28</v>
      </c>
      <c r="D75" s="7"/>
      <c r="E75" s="7">
        <v>768</v>
      </c>
      <c r="F75" s="7">
        <v>1536</v>
      </c>
    </row>
    <row r="76" spans="1:6" x14ac:dyDescent="0.25">
      <c r="A76" s="22" t="s">
        <v>46</v>
      </c>
      <c r="D76" s="7"/>
      <c r="E76" s="7">
        <v>24</v>
      </c>
      <c r="F76" s="7">
        <v>128</v>
      </c>
    </row>
    <row r="77" spans="1:6" x14ac:dyDescent="0.25">
      <c r="A77" s="22" t="s">
        <v>43</v>
      </c>
      <c r="D77" s="7"/>
      <c r="E77" s="7">
        <v>0</v>
      </c>
      <c r="F77" s="7">
        <v>780</v>
      </c>
    </row>
    <row r="78" spans="1:6" x14ac:dyDescent="0.25">
      <c r="A78" s="22" t="s">
        <v>32</v>
      </c>
      <c r="D78" s="7"/>
      <c r="E78" s="7">
        <v>0</v>
      </c>
      <c r="F78" s="7">
        <v>0</v>
      </c>
    </row>
    <row r="79" spans="1:6" x14ac:dyDescent="0.25">
      <c r="A79" s="22" t="s">
        <v>35</v>
      </c>
      <c r="D79" s="7"/>
      <c r="E79" s="7">
        <v>0</v>
      </c>
      <c r="F79" s="7">
        <v>0</v>
      </c>
    </row>
    <row r="80" spans="1:6" x14ac:dyDescent="0.25">
      <c r="A80" s="22" t="s">
        <v>33</v>
      </c>
      <c r="D80" s="7"/>
      <c r="E80" s="7">
        <v>18000</v>
      </c>
      <c r="F80" s="7">
        <v>18000</v>
      </c>
    </row>
    <row r="81" spans="1:6" x14ac:dyDescent="0.25">
      <c r="A81" s="22" t="s">
        <v>21</v>
      </c>
      <c r="D81" s="11"/>
      <c r="E81" s="11">
        <v>19000</v>
      </c>
      <c r="F81" s="11">
        <v>17500</v>
      </c>
    </row>
    <row r="83" spans="1:6" x14ac:dyDescent="0.25">
      <c r="A83" s="124" t="s">
        <v>52</v>
      </c>
    </row>
    <row r="84" spans="1:6" x14ac:dyDescent="0.25">
      <c r="A84" s="22" t="s">
        <v>16</v>
      </c>
      <c r="E84" s="2">
        <v>0</v>
      </c>
      <c r="F84" s="125">
        <v>0</v>
      </c>
    </row>
    <row r="85" spans="1:6" x14ac:dyDescent="0.25">
      <c r="A85" s="22" t="s">
        <v>37</v>
      </c>
      <c r="E85" s="2">
        <v>0</v>
      </c>
      <c r="F85" s="125">
        <v>0</v>
      </c>
    </row>
    <row r="86" spans="1:6" x14ac:dyDescent="0.25">
      <c r="A86" s="22" t="s">
        <v>56</v>
      </c>
      <c r="E86" s="2">
        <v>0</v>
      </c>
      <c r="F86" s="125">
        <v>0</v>
      </c>
    </row>
    <row r="87" spans="1:6" x14ac:dyDescent="0.25">
      <c r="A87" s="22" t="s">
        <v>57</v>
      </c>
      <c r="E87" s="2">
        <v>-3.5527136788005009E-15</v>
      </c>
      <c r="F87" s="125">
        <v>-3.5527136788005009E-15</v>
      </c>
    </row>
    <row r="88" spans="1:6" x14ac:dyDescent="0.25">
      <c r="A88" s="22" t="s">
        <v>53</v>
      </c>
      <c r="E88" s="2">
        <v>21967</v>
      </c>
      <c r="F88" s="125">
        <v>22676</v>
      </c>
    </row>
    <row r="89" spans="1:6" x14ac:dyDescent="0.25">
      <c r="A89" s="22" t="s">
        <v>19</v>
      </c>
      <c r="D89" s="126"/>
      <c r="E89" s="126">
        <v>124.88333333333343</v>
      </c>
      <c r="F89" s="126">
        <v>99.266666666666779</v>
      </c>
    </row>
    <row r="90" spans="1:6" x14ac:dyDescent="0.25">
      <c r="A90" s="22" t="s">
        <v>54</v>
      </c>
      <c r="D90" s="7"/>
      <c r="E90" s="7">
        <v>54917.5</v>
      </c>
      <c r="F90" s="7">
        <v>56690</v>
      </c>
    </row>
    <row r="91" spans="1:6" x14ac:dyDescent="0.25">
      <c r="A91" s="22" t="s">
        <v>21</v>
      </c>
      <c r="D91" s="11"/>
      <c r="E91" s="11">
        <v>20209.640000000003</v>
      </c>
      <c r="F91" s="11">
        <v>20861.919999999998</v>
      </c>
    </row>
    <row r="93" spans="1:6" x14ac:dyDescent="0.25">
      <c r="A93" s="124" t="s">
        <v>63</v>
      </c>
    </row>
    <row r="94" spans="1:6" x14ac:dyDescent="0.25">
      <c r="A94" s="22" t="s">
        <v>16</v>
      </c>
      <c r="E94" s="2">
        <v>0</v>
      </c>
      <c r="F94" s="125">
        <v>0</v>
      </c>
    </row>
    <row r="95" spans="1:6" x14ac:dyDescent="0.25">
      <c r="A95" s="22" t="s">
        <v>37</v>
      </c>
      <c r="E95" s="2">
        <v>2</v>
      </c>
      <c r="F95" s="125">
        <v>0</v>
      </c>
    </row>
    <row r="96" spans="1:6" x14ac:dyDescent="0.25">
      <c r="A96" s="22" t="s">
        <v>56</v>
      </c>
      <c r="E96" s="2">
        <v>2</v>
      </c>
      <c r="F96" s="125">
        <v>0</v>
      </c>
    </row>
    <row r="97" spans="1:6" x14ac:dyDescent="0.25">
      <c r="A97" s="22" t="s">
        <v>57</v>
      </c>
      <c r="E97" s="2">
        <v>1</v>
      </c>
      <c r="F97" s="125">
        <v>0</v>
      </c>
    </row>
    <row r="98" spans="1:6" x14ac:dyDescent="0.25">
      <c r="A98" s="22" t="s">
        <v>53</v>
      </c>
      <c r="E98" s="2">
        <v>9539</v>
      </c>
      <c r="F98" s="125">
        <v>13476</v>
      </c>
    </row>
    <row r="99" spans="1:6" x14ac:dyDescent="0.25">
      <c r="A99" s="22" t="s">
        <v>19</v>
      </c>
      <c r="D99" s="126"/>
      <c r="E99" s="126">
        <v>88.076666666666611</v>
      </c>
      <c r="F99" s="126">
        <v>11.779999999999983</v>
      </c>
    </row>
    <row r="100" spans="1:6" x14ac:dyDescent="0.25">
      <c r="A100" s="22" t="s">
        <v>54</v>
      </c>
      <c r="D100" s="7"/>
      <c r="E100" s="7">
        <v>19078</v>
      </c>
      <c r="F100" s="7">
        <v>26952</v>
      </c>
    </row>
    <row r="101" spans="1:6" x14ac:dyDescent="0.25">
      <c r="A101" s="22" t="s">
        <v>21</v>
      </c>
      <c r="D101" s="11"/>
      <c r="E101" s="11">
        <v>8775.880000000001</v>
      </c>
      <c r="F101" s="11">
        <v>12397.920000000002</v>
      </c>
    </row>
    <row r="103" spans="1:6" x14ac:dyDescent="0.25">
      <c r="A103" s="124" t="s">
        <v>64</v>
      </c>
    </row>
    <row r="104" spans="1:6" x14ac:dyDescent="0.25">
      <c r="A104" s="22" t="s">
        <v>16</v>
      </c>
      <c r="E104" s="2">
        <v>0</v>
      </c>
      <c r="F104" s="125">
        <v>0</v>
      </c>
    </row>
    <row r="105" spans="1:6" x14ac:dyDescent="0.25">
      <c r="A105" s="22" t="s">
        <v>37</v>
      </c>
      <c r="E105" s="2">
        <v>0</v>
      </c>
      <c r="F105" s="125">
        <v>0</v>
      </c>
    </row>
    <row r="106" spans="1:6" x14ac:dyDescent="0.25">
      <c r="A106" s="22" t="s">
        <v>56</v>
      </c>
      <c r="E106" s="2">
        <v>0</v>
      </c>
      <c r="F106" s="125">
        <v>0</v>
      </c>
    </row>
    <row r="107" spans="1:6" x14ac:dyDescent="0.25">
      <c r="A107" s="22" t="s">
        <v>57</v>
      </c>
      <c r="E107" s="2">
        <v>0</v>
      </c>
      <c r="F107" s="125">
        <v>0</v>
      </c>
    </row>
    <row r="108" spans="1:6" x14ac:dyDescent="0.25">
      <c r="A108" s="22" t="s">
        <v>53</v>
      </c>
      <c r="E108" s="2">
        <v>6966</v>
      </c>
      <c r="F108" s="125">
        <v>9431</v>
      </c>
    </row>
    <row r="109" spans="1:6" x14ac:dyDescent="0.25">
      <c r="A109" s="22" t="s">
        <v>19</v>
      </c>
      <c r="D109" s="126"/>
      <c r="E109" s="126">
        <v>49.045714285714283</v>
      </c>
      <c r="F109" s="126">
        <v>9.5114285714285955</v>
      </c>
    </row>
    <row r="110" spans="1:6" x14ac:dyDescent="0.25">
      <c r="A110" s="22" t="s">
        <v>54</v>
      </c>
      <c r="D110" s="7"/>
      <c r="E110" s="7">
        <v>10449</v>
      </c>
      <c r="F110" s="7">
        <v>14146.5</v>
      </c>
    </row>
    <row r="111" spans="1:6" x14ac:dyDescent="0.25">
      <c r="A111" s="22" t="s">
        <v>21</v>
      </c>
      <c r="D111" s="11"/>
      <c r="E111" s="11">
        <v>5572.7999999999993</v>
      </c>
      <c r="F111" s="11">
        <v>7544.8</v>
      </c>
    </row>
    <row r="113" spans="1:6" x14ac:dyDescent="0.25">
      <c r="A113" s="124" t="s">
        <v>65</v>
      </c>
    </row>
    <row r="114" spans="1:6" x14ac:dyDescent="0.25">
      <c r="A114" s="22" t="s">
        <v>16</v>
      </c>
      <c r="D114" s="2">
        <v>10</v>
      </c>
      <c r="E114" s="2">
        <v>0</v>
      </c>
      <c r="F114" s="125">
        <v>1</v>
      </c>
    </row>
    <row r="115" spans="1:6" x14ac:dyDescent="0.25">
      <c r="A115" s="22" t="s">
        <v>37</v>
      </c>
      <c r="D115" s="2">
        <v>10</v>
      </c>
      <c r="E115" s="2">
        <v>2</v>
      </c>
      <c r="F115" s="125">
        <v>41</v>
      </c>
    </row>
    <row r="116" spans="1:6" x14ac:dyDescent="0.25">
      <c r="A116" s="22" t="s">
        <v>68</v>
      </c>
      <c r="D116" s="7"/>
      <c r="E116" s="7">
        <v>20000</v>
      </c>
      <c r="F116" s="7">
        <v>22000</v>
      </c>
    </row>
    <row r="117" spans="1:6" x14ac:dyDescent="0.25">
      <c r="A117" s="22" t="s">
        <v>72</v>
      </c>
      <c r="D117" s="7"/>
      <c r="E117" s="7">
        <v>24000</v>
      </c>
      <c r="F117" s="7">
        <v>27200</v>
      </c>
    </row>
    <row r="118" spans="1:6" x14ac:dyDescent="0.25">
      <c r="A118" s="22" t="s">
        <v>22</v>
      </c>
      <c r="D118" s="7"/>
      <c r="E118" s="7">
        <v>0</v>
      </c>
      <c r="F118" s="7">
        <v>12</v>
      </c>
    </row>
    <row r="119" spans="1:6" x14ac:dyDescent="0.25">
      <c r="A119" s="22" t="s">
        <v>38</v>
      </c>
      <c r="D119" s="7"/>
      <c r="E119" s="7">
        <v>38</v>
      </c>
      <c r="F119" s="7">
        <v>779</v>
      </c>
    </row>
    <row r="120" spans="1:6" x14ac:dyDescent="0.25">
      <c r="A120" s="22" t="s">
        <v>66</v>
      </c>
      <c r="E120" s="2">
        <v>20</v>
      </c>
      <c r="F120" s="125">
        <v>22</v>
      </c>
    </row>
    <row r="121" spans="1:6" x14ac:dyDescent="0.25">
      <c r="A121" s="22" t="s">
        <v>70</v>
      </c>
      <c r="E121" s="2">
        <v>15</v>
      </c>
      <c r="F121" s="125">
        <v>17</v>
      </c>
    </row>
    <row r="122" spans="1:6" x14ac:dyDescent="0.25">
      <c r="A122" s="22" t="s">
        <v>67</v>
      </c>
      <c r="E122" s="2">
        <v>20</v>
      </c>
      <c r="F122" s="125">
        <v>22</v>
      </c>
    </row>
    <row r="123" spans="1:6" x14ac:dyDescent="0.25">
      <c r="A123" s="22" t="s">
        <v>71</v>
      </c>
      <c r="E123" s="2">
        <v>15</v>
      </c>
      <c r="F123" s="125">
        <v>17</v>
      </c>
    </row>
    <row r="125" spans="1:6" x14ac:dyDescent="0.25">
      <c r="A125" s="124" t="s">
        <v>74</v>
      </c>
    </row>
    <row r="126" spans="1:6" x14ac:dyDescent="0.25">
      <c r="A126" s="22" t="s">
        <v>16</v>
      </c>
      <c r="D126" s="2">
        <v>10</v>
      </c>
      <c r="E126" s="2">
        <v>1</v>
      </c>
      <c r="F126" s="125">
        <v>69</v>
      </c>
    </row>
    <row r="127" spans="1:6" x14ac:dyDescent="0.25">
      <c r="A127" s="22" t="s">
        <v>37</v>
      </c>
      <c r="D127" s="2">
        <v>10</v>
      </c>
      <c r="E127" s="2">
        <v>2</v>
      </c>
      <c r="F127" s="125">
        <v>2</v>
      </c>
    </row>
    <row r="128" spans="1:6" x14ac:dyDescent="0.25">
      <c r="A128" s="22" t="s">
        <v>68</v>
      </c>
      <c r="D128" s="7"/>
      <c r="E128" s="7">
        <v>14000</v>
      </c>
      <c r="F128" s="7">
        <v>15400</v>
      </c>
    </row>
    <row r="129" spans="1:6" x14ac:dyDescent="0.25">
      <c r="A129" s="22" t="s">
        <v>72</v>
      </c>
      <c r="D129" s="7"/>
      <c r="E129" s="7">
        <v>18200</v>
      </c>
      <c r="F129" s="7">
        <v>22100</v>
      </c>
    </row>
    <row r="130" spans="1:6" x14ac:dyDescent="0.25">
      <c r="A130" s="22" t="s">
        <v>22</v>
      </c>
      <c r="D130" s="7"/>
      <c r="E130" s="7">
        <v>12</v>
      </c>
      <c r="F130" s="7">
        <v>828</v>
      </c>
    </row>
    <row r="131" spans="1:6" x14ac:dyDescent="0.25">
      <c r="A131" s="22" t="s">
        <v>38</v>
      </c>
      <c r="D131" s="7"/>
      <c r="E131" s="7">
        <v>38</v>
      </c>
      <c r="F131" s="7">
        <v>38</v>
      </c>
    </row>
    <row r="132" spans="1:6" x14ac:dyDescent="0.25">
      <c r="A132" s="22" t="s">
        <v>66</v>
      </c>
      <c r="E132" s="2">
        <v>20</v>
      </c>
      <c r="F132" s="125">
        <v>22</v>
      </c>
    </row>
    <row r="133" spans="1:6" x14ac:dyDescent="0.25">
      <c r="A133" s="22" t="s">
        <v>70</v>
      </c>
      <c r="E133" s="2">
        <v>14</v>
      </c>
      <c r="F133" s="125">
        <v>17</v>
      </c>
    </row>
    <row r="134" spans="1:6" x14ac:dyDescent="0.25">
      <c r="A134" s="22" t="s">
        <v>67</v>
      </c>
      <c r="E134" s="2">
        <v>20</v>
      </c>
      <c r="F134" s="125">
        <v>22</v>
      </c>
    </row>
    <row r="135" spans="1:6" x14ac:dyDescent="0.25">
      <c r="A135" s="22" t="s">
        <v>71</v>
      </c>
      <c r="E135" s="2">
        <v>14</v>
      </c>
      <c r="F135" s="125">
        <v>17</v>
      </c>
    </row>
    <row r="137" spans="1:6" x14ac:dyDescent="0.25">
      <c r="A137" s="124" t="s">
        <v>75</v>
      </c>
    </row>
    <row r="138" spans="1:6" x14ac:dyDescent="0.25">
      <c r="A138" s="22" t="s">
        <v>16</v>
      </c>
      <c r="D138" s="2">
        <v>10</v>
      </c>
      <c r="E138" s="2">
        <v>2</v>
      </c>
      <c r="F138" s="125">
        <v>55</v>
      </c>
    </row>
    <row r="139" spans="1:6" x14ac:dyDescent="0.25">
      <c r="A139" s="22" t="s">
        <v>37</v>
      </c>
      <c r="D139" s="2">
        <v>10</v>
      </c>
      <c r="E139" s="2">
        <v>0</v>
      </c>
      <c r="F139" s="125">
        <v>23</v>
      </c>
    </row>
    <row r="140" spans="1:6" x14ac:dyDescent="0.25">
      <c r="A140" s="22" t="s">
        <v>68</v>
      </c>
      <c r="D140" s="7"/>
      <c r="E140" s="7">
        <v>21600</v>
      </c>
      <c r="F140" s="7">
        <v>21600</v>
      </c>
    </row>
    <row r="141" spans="1:6" x14ac:dyDescent="0.25">
      <c r="A141" s="22" t="s">
        <v>72</v>
      </c>
      <c r="D141" s="7"/>
      <c r="E141" s="7">
        <v>21000</v>
      </c>
      <c r="F141" s="7">
        <v>19500</v>
      </c>
    </row>
    <row r="142" spans="1:6" x14ac:dyDescent="0.25">
      <c r="A142" s="22" t="s">
        <v>22</v>
      </c>
      <c r="D142" s="7"/>
      <c r="E142" s="7">
        <v>24</v>
      </c>
      <c r="F142" s="7">
        <v>660</v>
      </c>
    </row>
    <row r="143" spans="1:6" x14ac:dyDescent="0.25">
      <c r="A143" s="22" t="s">
        <v>38</v>
      </c>
      <c r="D143" s="7"/>
      <c r="E143" s="7">
        <v>0</v>
      </c>
      <c r="F143" s="7">
        <v>437</v>
      </c>
    </row>
    <row r="144" spans="1:6" x14ac:dyDescent="0.25">
      <c r="A144" s="22" t="s">
        <v>66</v>
      </c>
      <c r="E144" s="2">
        <v>24</v>
      </c>
      <c r="F144" s="125">
        <v>24</v>
      </c>
    </row>
    <row r="145" spans="1:6" x14ac:dyDescent="0.25">
      <c r="A145" s="22" t="s">
        <v>70</v>
      </c>
      <c r="E145" s="2">
        <v>14</v>
      </c>
      <c r="F145" s="125">
        <v>13</v>
      </c>
    </row>
    <row r="146" spans="1:6" x14ac:dyDescent="0.25">
      <c r="A146" s="22" t="s">
        <v>67</v>
      </c>
      <c r="E146" s="2">
        <v>24</v>
      </c>
      <c r="F146" s="125">
        <v>24</v>
      </c>
    </row>
    <row r="147" spans="1:6" x14ac:dyDescent="0.25">
      <c r="A147" s="22" t="s">
        <v>71</v>
      </c>
      <c r="E147" s="2">
        <v>14</v>
      </c>
      <c r="F147" s="125">
        <v>13</v>
      </c>
    </row>
    <row r="149" spans="1:6" x14ac:dyDescent="0.25">
      <c r="A149" s="124" t="s">
        <v>76</v>
      </c>
    </row>
    <row r="150" spans="1:6" x14ac:dyDescent="0.25">
      <c r="A150" s="22" t="s">
        <v>16</v>
      </c>
      <c r="D150" s="2">
        <v>10</v>
      </c>
      <c r="E150" s="2">
        <v>11</v>
      </c>
      <c r="F150" s="125">
        <v>19</v>
      </c>
    </row>
    <row r="151" spans="1:6" x14ac:dyDescent="0.25">
      <c r="A151" s="22" t="s">
        <v>37</v>
      </c>
      <c r="D151" s="2">
        <v>10</v>
      </c>
      <c r="E151" s="2">
        <v>4</v>
      </c>
      <c r="F151" s="125">
        <v>12</v>
      </c>
    </row>
    <row r="152" spans="1:6" x14ac:dyDescent="0.25">
      <c r="A152" s="22" t="s">
        <v>68</v>
      </c>
      <c r="D152" s="7"/>
      <c r="E152" s="7">
        <v>19800</v>
      </c>
      <c r="F152" s="7">
        <v>19800</v>
      </c>
    </row>
    <row r="153" spans="1:6" x14ac:dyDescent="0.25">
      <c r="A153" s="22" t="s">
        <v>72</v>
      </c>
      <c r="D153" s="7"/>
      <c r="E153" s="7">
        <v>22500</v>
      </c>
      <c r="F153" s="7">
        <v>21000</v>
      </c>
    </row>
    <row r="154" spans="1:6" x14ac:dyDescent="0.25">
      <c r="A154" s="22" t="s">
        <v>22</v>
      </c>
      <c r="D154" s="7"/>
      <c r="E154" s="7">
        <v>132</v>
      </c>
      <c r="F154" s="7">
        <v>228</v>
      </c>
    </row>
    <row r="155" spans="1:6" x14ac:dyDescent="0.25">
      <c r="A155" s="22" t="s">
        <v>38</v>
      </c>
      <c r="D155" s="7"/>
      <c r="E155" s="7">
        <v>76</v>
      </c>
      <c r="F155" s="7">
        <v>228</v>
      </c>
    </row>
    <row r="156" spans="1:6" x14ac:dyDescent="0.25">
      <c r="A156" s="22" t="s">
        <v>66</v>
      </c>
      <c r="E156" s="2">
        <v>22</v>
      </c>
      <c r="F156" s="125">
        <v>22</v>
      </c>
    </row>
    <row r="157" spans="1:6" x14ac:dyDescent="0.25">
      <c r="A157" s="22" t="s">
        <v>70</v>
      </c>
      <c r="E157" s="2">
        <v>15</v>
      </c>
      <c r="F157" s="125">
        <v>14</v>
      </c>
    </row>
    <row r="158" spans="1:6" x14ac:dyDescent="0.25">
      <c r="A158" s="22" t="s">
        <v>67</v>
      </c>
      <c r="E158" s="2">
        <v>22</v>
      </c>
      <c r="F158" s="125">
        <v>22</v>
      </c>
    </row>
    <row r="159" spans="1:6" x14ac:dyDescent="0.25">
      <c r="A159" s="22" t="s">
        <v>71</v>
      </c>
      <c r="E159" s="2">
        <v>15</v>
      </c>
      <c r="F159" s="125">
        <v>14</v>
      </c>
    </row>
    <row r="161" spans="1:6" x14ac:dyDescent="0.25">
      <c r="A161" s="124" t="s">
        <v>77</v>
      </c>
    </row>
    <row r="162" spans="1:6" x14ac:dyDescent="0.25">
      <c r="A162" s="22" t="s">
        <v>16</v>
      </c>
      <c r="D162" s="2">
        <v>10</v>
      </c>
      <c r="E162" s="2">
        <v>0</v>
      </c>
      <c r="F162" s="125">
        <v>5</v>
      </c>
    </row>
    <row r="163" spans="1:6" x14ac:dyDescent="0.25">
      <c r="A163" s="22" t="s">
        <v>37</v>
      </c>
      <c r="D163" s="2">
        <v>10</v>
      </c>
      <c r="E163" s="2">
        <v>0</v>
      </c>
      <c r="F163" s="125">
        <v>8</v>
      </c>
    </row>
    <row r="164" spans="1:6" x14ac:dyDescent="0.25">
      <c r="A164" s="22" t="s">
        <v>68</v>
      </c>
      <c r="D164" s="7"/>
      <c r="E164" s="7">
        <v>27000</v>
      </c>
      <c r="F164" s="7">
        <v>26000</v>
      </c>
    </row>
    <row r="165" spans="1:6" x14ac:dyDescent="0.25">
      <c r="A165" s="22" t="s">
        <v>72</v>
      </c>
      <c r="D165" s="7"/>
      <c r="E165" s="7">
        <v>30400</v>
      </c>
      <c r="F165" s="7">
        <v>27200</v>
      </c>
    </row>
    <row r="166" spans="1:6" x14ac:dyDescent="0.25">
      <c r="A166" s="22" t="s">
        <v>22</v>
      </c>
      <c r="D166" s="7"/>
      <c r="E166" s="7">
        <v>0</v>
      </c>
      <c r="F166" s="7">
        <v>60</v>
      </c>
    </row>
    <row r="167" spans="1:6" x14ac:dyDescent="0.25">
      <c r="A167" s="22" t="s">
        <v>38</v>
      </c>
      <c r="D167" s="7"/>
      <c r="E167" s="7">
        <v>0</v>
      </c>
      <c r="F167" s="7">
        <v>152</v>
      </c>
    </row>
    <row r="168" spans="1:6" x14ac:dyDescent="0.25">
      <c r="A168" s="22" t="s">
        <v>66</v>
      </c>
      <c r="E168" s="2">
        <v>29</v>
      </c>
      <c r="F168" s="125">
        <v>26</v>
      </c>
    </row>
    <row r="169" spans="1:6" x14ac:dyDescent="0.25">
      <c r="A169" s="22" t="s">
        <v>70</v>
      </c>
      <c r="E169" s="2">
        <v>19</v>
      </c>
      <c r="F169" s="125">
        <v>17</v>
      </c>
    </row>
    <row r="170" spans="1:6" x14ac:dyDescent="0.25">
      <c r="A170" s="22" t="s">
        <v>67</v>
      </c>
      <c r="E170" s="2">
        <v>27</v>
      </c>
      <c r="F170" s="125">
        <v>26</v>
      </c>
    </row>
    <row r="171" spans="1:6" x14ac:dyDescent="0.25">
      <c r="A171" s="22" t="s">
        <v>71</v>
      </c>
      <c r="E171" s="2">
        <v>19</v>
      </c>
      <c r="F171" s="125">
        <v>17</v>
      </c>
    </row>
    <row r="173" spans="1:6" x14ac:dyDescent="0.25">
      <c r="A173" s="124" t="s">
        <v>78</v>
      </c>
    </row>
    <row r="174" spans="1:6" x14ac:dyDescent="0.25">
      <c r="A174" s="22" t="s">
        <v>16</v>
      </c>
      <c r="D174" s="2">
        <v>10</v>
      </c>
      <c r="E174" s="2">
        <v>3</v>
      </c>
      <c r="F174" s="125">
        <v>1</v>
      </c>
    </row>
    <row r="175" spans="1:6" x14ac:dyDescent="0.25">
      <c r="A175" s="22" t="s">
        <v>37</v>
      </c>
      <c r="D175" s="2">
        <v>10</v>
      </c>
      <c r="E175" s="2">
        <v>0</v>
      </c>
      <c r="F175" s="125">
        <v>3</v>
      </c>
    </row>
    <row r="176" spans="1:6" x14ac:dyDescent="0.25">
      <c r="A176" s="22" t="s">
        <v>68</v>
      </c>
      <c r="D176" s="7"/>
      <c r="E176" s="7">
        <v>9600</v>
      </c>
      <c r="F176" s="7">
        <v>10800</v>
      </c>
    </row>
    <row r="177" spans="1:6" x14ac:dyDescent="0.25">
      <c r="A177" s="22" t="s">
        <v>72</v>
      </c>
      <c r="D177" s="7"/>
      <c r="E177" s="7">
        <v>16800</v>
      </c>
      <c r="F177" s="7">
        <v>16800</v>
      </c>
    </row>
    <row r="178" spans="1:6" x14ac:dyDescent="0.25">
      <c r="A178" s="22" t="s">
        <v>22</v>
      </c>
      <c r="D178" s="7"/>
      <c r="E178" s="7">
        <v>36</v>
      </c>
      <c r="F178" s="7">
        <v>12</v>
      </c>
    </row>
    <row r="179" spans="1:6" x14ac:dyDescent="0.25">
      <c r="A179" s="22" t="s">
        <v>38</v>
      </c>
      <c r="D179" s="7"/>
      <c r="E179" s="7">
        <v>0</v>
      </c>
      <c r="F179" s="7">
        <v>57</v>
      </c>
    </row>
    <row r="180" spans="1:6" x14ac:dyDescent="0.25">
      <c r="A180" s="22" t="s">
        <v>66</v>
      </c>
      <c r="E180" s="2">
        <v>16</v>
      </c>
      <c r="F180" s="125">
        <v>18</v>
      </c>
    </row>
    <row r="181" spans="1:6" x14ac:dyDescent="0.25">
      <c r="A181" s="22" t="s">
        <v>70</v>
      </c>
      <c r="E181" s="2">
        <v>14</v>
      </c>
      <c r="F181" s="125">
        <v>14</v>
      </c>
    </row>
    <row r="182" spans="1:6" x14ac:dyDescent="0.25">
      <c r="A182" s="22" t="s">
        <v>67</v>
      </c>
      <c r="E182" s="2">
        <v>16</v>
      </c>
      <c r="F182" s="125">
        <v>18</v>
      </c>
    </row>
    <row r="183" spans="1:6" x14ac:dyDescent="0.25">
      <c r="A183" s="22" t="s">
        <v>71</v>
      </c>
      <c r="E183" s="2">
        <v>14</v>
      </c>
      <c r="F183" s="125">
        <v>14</v>
      </c>
    </row>
    <row r="185" spans="1:6" x14ac:dyDescent="0.25">
      <c r="A185" s="124" t="s">
        <v>79</v>
      </c>
    </row>
    <row r="186" spans="1:6" x14ac:dyDescent="0.25">
      <c r="A186" s="22" t="s">
        <v>16</v>
      </c>
      <c r="D186" s="2">
        <v>10</v>
      </c>
      <c r="E186" s="2">
        <v>2</v>
      </c>
      <c r="F186" s="125">
        <v>49</v>
      </c>
    </row>
    <row r="187" spans="1:6" x14ac:dyDescent="0.25">
      <c r="A187" s="22" t="s">
        <v>37</v>
      </c>
      <c r="D187" s="2">
        <v>10</v>
      </c>
      <c r="E187" s="2">
        <v>0</v>
      </c>
      <c r="F187" s="125">
        <v>3</v>
      </c>
    </row>
    <row r="188" spans="1:6" x14ac:dyDescent="0.25">
      <c r="A188" s="22" t="s">
        <v>68</v>
      </c>
      <c r="D188" s="7"/>
      <c r="E188" s="7">
        <v>20900</v>
      </c>
      <c r="F188" s="7">
        <v>20900</v>
      </c>
    </row>
    <row r="189" spans="1:6" x14ac:dyDescent="0.25">
      <c r="A189" s="22" t="s">
        <v>72</v>
      </c>
      <c r="D189" s="7"/>
      <c r="E189" s="7">
        <v>26000</v>
      </c>
      <c r="F189" s="7">
        <v>23400</v>
      </c>
    </row>
    <row r="190" spans="1:6" x14ac:dyDescent="0.25">
      <c r="A190" s="22" t="s">
        <v>22</v>
      </c>
      <c r="D190" s="7"/>
      <c r="E190" s="7">
        <v>24</v>
      </c>
      <c r="F190" s="7">
        <v>588</v>
      </c>
    </row>
    <row r="191" spans="1:6" x14ac:dyDescent="0.25">
      <c r="A191" s="22" t="s">
        <v>38</v>
      </c>
      <c r="D191" s="7"/>
      <c r="E191" s="7">
        <v>0</v>
      </c>
      <c r="F191" s="7">
        <v>57</v>
      </c>
    </row>
    <row r="192" spans="1:6" x14ac:dyDescent="0.25">
      <c r="A192" s="22" t="s">
        <v>66</v>
      </c>
      <c r="E192" s="2">
        <v>19</v>
      </c>
      <c r="F192" s="125">
        <v>19</v>
      </c>
    </row>
    <row r="193" spans="1:6" x14ac:dyDescent="0.25">
      <c r="A193" s="22" t="s">
        <v>70</v>
      </c>
      <c r="E193" s="2">
        <v>20</v>
      </c>
      <c r="F193" s="125">
        <v>18</v>
      </c>
    </row>
    <row r="194" spans="1:6" x14ac:dyDescent="0.25">
      <c r="A194" s="22" t="s">
        <v>67</v>
      </c>
      <c r="E194" s="2">
        <v>19</v>
      </c>
      <c r="F194" s="125">
        <v>19</v>
      </c>
    </row>
    <row r="195" spans="1:6" x14ac:dyDescent="0.25">
      <c r="A195" s="22" t="s">
        <v>71</v>
      </c>
      <c r="E195" s="2">
        <v>20</v>
      </c>
      <c r="F195" s="125">
        <v>18</v>
      </c>
    </row>
    <row r="197" spans="1:6" x14ac:dyDescent="0.25">
      <c r="A197" s="124" t="s">
        <v>80</v>
      </c>
    </row>
    <row r="198" spans="1:6" x14ac:dyDescent="0.25">
      <c r="A198" s="22" t="s">
        <v>16</v>
      </c>
      <c r="D198" s="2">
        <v>10</v>
      </c>
      <c r="E198" s="2">
        <v>0</v>
      </c>
      <c r="F198" s="125">
        <v>2</v>
      </c>
    </row>
    <row r="199" spans="1:6" x14ac:dyDescent="0.25">
      <c r="A199" s="22" t="s">
        <v>37</v>
      </c>
      <c r="D199" s="2">
        <v>10</v>
      </c>
      <c r="E199" s="2">
        <v>0</v>
      </c>
      <c r="F199" s="125">
        <v>3</v>
      </c>
    </row>
    <row r="200" spans="1:6" x14ac:dyDescent="0.25">
      <c r="A200" s="22" t="s">
        <v>68</v>
      </c>
      <c r="D200" s="7"/>
      <c r="E200" s="7">
        <v>11900</v>
      </c>
      <c r="F200" s="7">
        <v>11200</v>
      </c>
    </row>
    <row r="201" spans="1:6" x14ac:dyDescent="0.25">
      <c r="A201" s="22" t="s">
        <v>72</v>
      </c>
      <c r="D201" s="7"/>
      <c r="E201" s="7">
        <v>22100</v>
      </c>
      <c r="F201" s="7">
        <v>19500</v>
      </c>
    </row>
    <row r="202" spans="1:6" x14ac:dyDescent="0.25">
      <c r="A202" s="22" t="s">
        <v>22</v>
      </c>
      <c r="D202" s="7"/>
      <c r="E202" s="7">
        <v>0</v>
      </c>
      <c r="F202" s="7">
        <v>24</v>
      </c>
    </row>
    <row r="203" spans="1:6" x14ac:dyDescent="0.25">
      <c r="A203" s="22" t="s">
        <v>38</v>
      </c>
      <c r="D203" s="7"/>
      <c r="E203" s="7">
        <v>0</v>
      </c>
      <c r="F203" s="7">
        <v>57</v>
      </c>
    </row>
    <row r="204" spans="1:6" x14ac:dyDescent="0.25">
      <c r="A204" s="22" t="s">
        <v>66</v>
      </c>
      <c r="E204" s="2">
        <v>17</v>
      </c>
      <c r="F204" s="125">
        <v>16</v>
      </c>
    </row>
    <row r="205" spans="1:6" x14ac:dyDescent="0.25">
      <c r="A205" s="22" t="s">
        <v>70</v>
      </c>
      <c r="E205" s="2">
        <v>17</v>
      </c>
      <c r="F205" s="125">
        <v>15</v>
      </c>
    </row>
    <row r="206" spans="1:6" x14ac:dyDescent="0.25">
      <c r="A206" s="22" t="s">
        <v>67</v>
      </c>
      <c r="E206" s="2">
        <v>17</v>
      </c>
      <c r="F206" s="125">
        <v>16</v>
      </c>
    </row>
    <row r="207" spans="1:6" x14ac:dyDescent="0.25">
      <c r="A207" s="22" t="s">
        <v>71</v>
      </c>
      <c r="E207" s="2">
        <v>17</v>
      </c>
      <c r="F207" s="125">
        <v>15</v>
      </c>
    </row>
    <row r="209" spans="1:6" x14ac:dyDescent="0.25">
      <c r="A209" s="124" t="s">
        <v>81</v>
      </c>
    </row>
    <row r="210" spans="1:6" x14ac:dyDescent="0.25">
      <c r="A210" s="22" t="s">
        <v>16</v>
      </c>
      <c r="D210" s="2">
        <v>10</v>
      </c>
      <c r="E210" s="2">
        <v>0</v>
      </c>
      <c r="F210" s="125">
        <v>2</v>
      </c>
    </row>
    <row r="211" spans="1:6" x14ac:dyDescent="0.25">
      <c r="A211" s="22" t="s">
        <v>37</v>
      </c>
      <c r="D211" s="2">
        <v>10</v>
      </c>
      <c r="E211" s="2">
        <v>23</v>
      </c>
      <c r="F211" s="125">
        <v>8</v>
      </c>
    </row>
    <row r="212" spans="1:6" x14ac:dyDescent="0.25">
      <c r="A212" s="22" t="s">
        <v>68</v>
      </c>
      <c r="D212" s="7"/>
      <c r="E212" s="7">
        <v>15200</v>
      </c>
      <c r="F212" s="7">
        <v>13600</v>
      </c>
    </row>
    <row r="213" spans="1:6" x14ac:dyDescent="0.25">
      <c r="A213" s="22" t="s">
        <v>72</v>
      </c>
      <c r="D213" s="7"/>
      <c r="E213" s="7">
        <v>23800</v>
      </c>
      <c r="F213" s="7">
        <v>21000</v>
      </c>
    </row>
    <row r="214" spans="1:6" x14ac:dyDescent="0.25">
      <c r="A214" s="22" t="s">
        <v>22</v>
      </c>
      <c r="D214" s="7"/>
      <c r="E214" s="7">
        <v>0</v>
      </c>
      <c r="F214" s="7">
        <v>24</v>
      </c>
    </row>
    <row r="215" spans="1:6" x14ac:dyDescent="0.25">
      <c r="A215" s="22" t="s">
        <v>38</v>
      </c>
      <c r="D215" s="7"/>
      <c r="E215" s="7">
        <v>437</v>
      </c>
      <c r="F215" s="7">
        <v>152</v>
      </c>
    </row>
    <row r="216" spans="1:6" x14ac:dyDescent="0.25">
      <c r="A216" s="22" t="s">
        <v>66</v>
      </c>
      <c r="E216" s="2">
        <v>19</v>
      </c>
      <c r="F216" s="125">
        <v>17</v>
      </c>
    </row>
    <row r="217" spans="1:6" x14ac:dyDescent="0.25">
      <c r="A217" s="22" t="s">
        <v>70</v>
      </c>
      <c r="E217" s="2">
        <v>17</v>
      </c>
      <c r="F217" s="125">
        <v>15</v>
      </c>
    </row>
    <row r="218" spans="1:6" x14ac:dyDescent="0.25">
      <c r="A218" s="22" t="s">
        <v>67</v>
      </c>
      <c r="E218" s="2">
        <v>19</v>
      </c>
      <c r="F218" s="125">
        <v>17</v>
      </c>
    </row>
    <row r="219" spans="1:6" x14ac:dyDescent="0.25">
      <c r="A219" s="22" t="s">
        <v>71</v>
      </c>
      <c r="E219" s="2">
        <v>17</v>
      </c>
      <c r="F219" s="125">
        <v>15</v>
      </c>
    </row>
    <row r="221" spans="1:6" x14ac:dyDescent="0.25">
      <c r="A221" s="124" t="s">
        <v>82</v>
      </c>
    </row>
    <row r="222" spans="1:6" x14ac:dyDescent="0.25">
      <c r="A222" s="22" t="s">
        <v>16</v>
      </c>
      <c r="D222" s="2">
        <v>10</v>
      </c>
      <c r="E222" s="2">
        <v>0</v>
      </c>
      <c r="F222" s="125">
        <v>6</v>
      </c>
    </row>
    <row r="223" spans="1:6" x14ac:dyDescent="0.25">
      <c r="A223" s="22" t="s">
        <v>37</v>
      </c>
      <c r="D223" s="2">
        <v>10</v>
      </c>
      <c r="E223" s="2">
        <v>0</v>
      </c>
      <c r="F223" s="125">
        <v>34</v>
      </c>
    </row>
    <row r="224" spans="1:6" x14ac:dyDescent="0.25">
      <c r="A224" s="22" t="s">
        <v>68</v>
      </c>
      <c r="D224" s="7"/>
      <c r="E224" s="7">
        <v>25000</v>
      </c>
      <c r="F224" s="7">
        <v>24000</v>
      </c>
    </row>
    <row r="225" spans="1:16" x14ac:dyDescent="0.25">
      <c r="A225" s="22" t="s">
        <v>72</v>
      </c>
      <c r="D225" s="7"/>
      <c r="E225" s="7">
        <v>28800</v>
      </c>
      <c r="F225" s="7">
        <v>24000</v>
      </c>
    </row>
    <row r="226" spans="1:16" x14ac:dyDescent="0.25">
      <c r="A226" s="22" t="s">
        <v>22</v>
      </c>
      <c r="D226" s="7"/>
      <c r="E226" s="7">
        <v>0</v>
      </c>
      <c r="F226" s="7">
        <v>72</v>
      </c>
    </row>
    <row r="227" spans="1:16" x14ac:dyDescent="0.25">
      <c r="A227" s="22" t="s">
        <v>38</v>
      </c>
      <c r="D227" s="7"/>
      <c r="E227" s="7">
        <v>0</v>
      </c>
      <c r="F227" s="7">
        <v>646</v>
      </c>
    </row>
    <row r="228" spans="1:16" x14ac:dyDescent="0.25">
      <c r="A228" s="22" t="s">
        <v>66</v>
      </c>
      <c r="E228" s="2">
        <v>25</v>
      </c>
      <c r="F228" s="125">
        <v>24</v>
      </c>
    </row>
    <row r="229" spans="1:16" x14ac:dyDescent="0.25">
      <c r="A229" s="22" t="s">
        <v>70</v>
      </c>
      <c r="E229" s="2">
        <v>18</v>
      </c>
      <c r="F229" s="125">
        <v>15</v>
      </c>
    </row>
    <row r="230" spans="1:16" x14ac:dyDescent="0.25">
      <c r="A230" s="22" t="s">
        <v>67</v>
      </c>
      <c r="E230" s="2">
        <v>25</v>
      </c>
      <c r="F230" s="125">
        <v>24</v>
      </c>
    </row>
    <row r="231" spans="1:16" x14ac:dyDescent="0.25">
      <c r="A231" s="22" t="s">
        <v>71</v>
      </c>
      <c r="E231" s="2">
        <v>18</v>
      </c>
      <c r="F231" s="125">
        <v>15</v>
      </c>
    </row>
    <row r="233" spans="1:16" s="7" customFormat="1" x14ac:dyDescent="0.25">
      <c r="A233" s="127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407000</v>
      </c>
      <c r="G233" s="7">
        <f t="shared" si="0"/>
        <v>0</v>
      </c>
      <c r="H233" s="7">
        <f t="shared" si="0"/>
        <v>0</v>
      </c>
      <c r="I233" s="7">
        <f t="shared" si="0"/>
        <v>0</v>
      </c>
      <c r="J233" s="7">
        <f t="shared" si="0"/>
        <v>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7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473626.5</v>
      </c>
      <c r="G234" s="7">
        <f t="shared" si="1"/>
        <v>0</v>
      </c>
      <c r="H234" s="7">
        <f t="shared" si="1"/>
        <v>0</v>
      </c>
      <c r="I234" s="7">
        <f t="shared" si="1"/>
        <v>0</v>
      </c>
      <c r="J234" s="7">
        <f t="shared" si="1"/>
        <v>0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7" t="s">
        <v>366</v>
      </c>
      <c r="E235" s="7">
        <f t="shared" ref="E235:P235" si="2">E233-E234</f>
        <v>11454.5</v>
      </c>
      <c r="F235" s="7">
        <f t="shared" si="2"/>
        <v>-66626.5</v>
      </c>
      <c r="G235" s="7">
        <f t="shared" si="2"/>
        <v>0</v>
      </c>
      <c r="H235" s="7">
        <f t="shared" si="2"/>
        <v>0</v>
      </c>
      <c r="I235" s="7">
        <f t="shared" si="2"/>
        <v>0</v>
      </c>
      <c r="J235" s="7">
        <f t="shared" si="2"/>
        <v>0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8" t="s">
        <v>367</v>
      </c>
      <c r="E236" s="11">
        <f t="shared" ref="E236:P236" si="3">SUM(E23,E27,E35:E39,E60,E81,E91,E101,E111)</f>
        <v>340808.32</v>
      </c>
      <c r="F236" s="11">
        <f t="shared" si="3"/>
        <v>382054.63999999996</v>
      </c>
      <c r="G236" s="11">
        <f t="shared" si="3"/>
        <v>0</v>
      </c>
      <c r="H236" s="11">
        <f t="shared" si="3"/>
        <v>0</v>
      </c>
      <c r="I236" s="11">
        <f t="shared" si="3"/>
        <v>0</v>
      </c>
      <c r="J236" s="11">
        <f t="shared" si="3"/>
        <v>0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BF87-46F3-43F8-BEDB-EECA6BE41962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03\[decision2.xlsx]Execution_Transports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9" t="s">
        <v>369</v>
      </c>
      <c r="F26" s="129" t="s">
        <v>312</v>
      </c>
      <c r="G26" s="129" t="s">
        <v>53</v>
      </c>
      <c r="H26" s="129" t="s">
        <v>370</v>
      </c>
      <c r="I26" s="55" t="s">
        <v>316</v>
      </c>
      <c r="J26" s="55"/>
      <c r="K26" s="55" t="s">
        <v>318</v>
      </c>
      <c r="L26" s="55"/>
      <c r="N26" s="129" t="s">
        <v>369</v>
      </c>
      <c r="O26" s="129" t="s">
        <v>312</v>
      </c>
      <c r="P26" s="129" t="s">
        <v>53</v>
      </c>
      <c r="Q26" s="129" t="s">
        <v>370</v>
      </c>
      <c r="R26" s="55" t="s">
        <v>316</v>
      </c>
      <c r="S26" s="55"/>
      <c r="T26" s="55" t="s">
        <v>318</v>
      </c>
      <c r="U26" s="55"/>
      <c r="W26" s="129" t="s">
        <v>369</v>
      </c>
      <c r="X26" s="129" t="s">
        <v>312</v>
      </c>
      <c r="Y26" s="129" t="s">
        <v>53</v>
      </c>
      <c r="Z26" s="129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30"/>
      <c r="F27" s="130"/>
      <c r="G27" s="14"/>
      <c r="H27" s="130"/>
      <c r="I27" s="14" t="s">
        <v>371</v>
      </c>
      <c r="J27" s="14" t="s">
        <v>372</v>
      </c>
      <c r="K27" s="14" t="s">
        <v>371</v>
      </c>
      <c r="L27" s="14" t="s">
        <v>372</v>
      </c>
      <c r="N27" s="130"/>
      <c r="O27" s="130"/>
      <c r="P27" s="14"/>
      <c r="Q27" s="130"/>
      <c r="R27" s="14" t="s">
        <v>371</v>
      </c>
      <c r="S27" s="14" t="s">
        <v>372</v>
      </c>
      <c r="T27" s="14" t="s">
        <v>371</v>
      </c>
      <c r="U27" s="14" t="s">
        <v>372</v>
      </c>
      <c r="W27" s="130"/>
      <c r="X27" s="130"/>
      <c r="Y27" s="14"/>
      <c r="Z27" s="130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66</v>
      </c>
      <c r="J28" s="14">
        <f>Order!G28</f>
        <v>0</v>
      </c>
      <c r="K28" s="14">
        <f>Order!H28</f>
        <v>0</v>
      </c>
      <c r="L28" s="14">
        <f>Order!I28</f>
        <v>0</v>
      </c>
      <c r="N28" s="14" t="s">
        <v>39</v>
      </c>
      <c r="O28" s="14" t="str">
        <f>Order!L28</f>
        <v>Lorry 2</v>
      </c>
      <c r="P28" s="14">
        <f>IF(OR(N28=0,Q28=0),0,INDEX(Distances!$E$15:$P$26,MATCH(N28,Distances!$C$15:$C$26,0),MATCH(Q28,Distances!$E$13:$P$13,0)))</f>
        <v>360</v>
      </c>
      <c r="Q28" s="14" t="str">
        <f>Order!M28</f>
        <v>Paris</v>
      </c>
      <c r="R28" s="14">
        <f>Order!N28</f>
        <v>0</v>
      </c>
      <c r="S28" s="14">
        <f>Order!O28</f>
        <v>0</v>
      </c>
      <c r="T28" s="14">
        <f>Order!P28</f>
        <v>0</v>
      </c>
      <c r="U28" s="14">
        <f>Order!Q28</f>
        <v>20</v>
      </c>
      <c r="W28" s="14" t="s">
        <v>65</v>
      </c>
      <c r="X28" s="14" t="str">
        <f>Order!T28</f>
        <v>Lorry 3</v>
      </c>
      <c r="Y28" s="14">
        <f>IF(OR(W28=0,Z28=0),0,INDEX(Distances!$E$15:$P$26,MATCH(W28,Distances!$C$15:$C$26,0),MATCH(Z28,Distances!$E$13:$P$13,0)))</f>
        <v>0</v>
      </c>
      <c r="Z28" s="14" t="str">
        <f>Order!U28</f>
        <v>Paris</v>
      </c>
      <c r="AA28" s="14">
        <f>Order!V28</f>
        <v>24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48</v>
      </c>
      <c r="K29" s="14">
        <f>Order!H29</f>
        <v>0</v>
      </c>
      <c r="L29" s="14">
        <f>Order!I29</f>
        <v>0</v>
      </c>
      <c r="N29" s="14" t="s">
        <v>65</v>
      </c>
      <c r="O29" s="14" t="str">
        <f>Order!L29</f>
        <v>Lorry 2</v>
      </c>
      <c r="P29" s="14">
        <f>IF(OR(N29=0,Q29=0),0,INDEX(Distances!$E$15:$P$26,MATCH(N29,Distances!$C$15:$C$26,0),MATCH(Q29,Distances!$E$13:$P$13,0)))</f>
        <v>1408</v>
      </c>
      <c r="Q29" s="14" t="str">
        <f>Order!M29</f>
        <v>Berlin</v>
      </c>
      <c r="R29" s="14">
        <f>Order!N29</f>
        <v>0</v>
      </c>
      <c r="S29" s="14">
        <f>Order!O29</f>
        <v>0</v>
      </c>
      <c r="T29" s="14">
        <f>Order!P29</f>
        <v>0</v>
      </c>
      <c r="U29" s="14">
        <f>Order!Q29</f>
        <v>30</v>
      </c>
      <c r="W29" s="14" t="s">
        <v>65</v>
      </c>
      <c r="X29" s="14" t="str">
        <f>Order!T29</f>
        <v>Lorry 3</v>
      </c>
      <c r="Y29" s="14">
        <f>IF(OR(W29=0,Z29=0),0,INDEX(Distances!$E$15:$P$26,MATCH(W29,Distances!$C$15:$C$26,0),MATCH(Z29,Distances!$E$13:$P$13,0)))</f>
        <v>1274</v>
      </c>
      <c r="Z29" s="14" t="str">
        <f>Order!U29</f>
        <v>Madrid</v>
      </c>
      <c r="AA29" s="14">
        <f>Order!V29</f>
        <v>0</v>
      </c>
      <c r="AB29" s="14">
        <f>Order!W29</f>
        <v>0</v>
      </c>
      <c r="AC29" s="14">
        <f>Order!X29</f>
        <v>24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 t="s">
        <v>82</v>
      </c>
      <c r="O30" s="14" t="str">
        <f>Order!L30</f>
        <v>Lorry 2</v>
      </c>
      <c r="P30" s="14">
        <f>IF(OR(N30=0,Q30=0),0,INDEX(Distances!$E$15:$P$26,MATCH(N30,Distances!$C$15:$C$26,0),MATCH(Q30,Distances!$E$13:$P$13,0)))</f>
        <v>967</v>
      </c>
      <c r="Q30" s="14" t="str">
        <f>Order!M30</f>
        <v>Vesoul factory</v>
      </c>
      <c r="R30" s="14">
        <f>Order!N30</f>
        <v>0</v>
      </c>
      <c r="S30" s="14">
        <f>Order!O30</f>
        <v>15</v>
      </c>
      <c r="T30" s="14">
        <f>Order!P30</f>
        <v>0</v>
      </c>
      <c r="U30" s="14">
        <f>Order!Q30</f>
        <v>0</v>
      </c>
      <c r="W30" s="14" t="s">
        <v>75</v>
      </c>
      <c r="X30" s="14" t="str">
        <f>Order!T30</f>
        <v>Lorry 3</v>
      </c>
      <c r="Y30" s="14">
        <f>IF(OR(W30=0,Z30=0),0,INDEX(Distances!$E$15:$P$26,MATCH(W30,Distances!$C$15:$C$26,0),MATCH(Z30,Distances!$E$13:$P$13,0)))</f>
        <v>1274</v>
      </c>
      <c r="Z30" s="14" t="str">
        <f>Order!U30</f>
        <v>Paris</v>
      </c>
      <c r="AA30" s="14">
        <f>Order!V30</f>
        <v>3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14</v>
      </c>
      <c r="F31" s="14" t="str">
        <f>Order!D31</f>
        <v>Lorry 1</v>
      </c>
      <c r="G31" s="14">
        <f>IF(OR(E31=0,H31=0),0,INDEX(Distances!$E$15:$P$26,MATCH(E31,Distances!$C$15:$C$26,0),MATCH(H31,Distances!$E$13:$P$13,0)))</f>
        <v>509</v>
      </c>
      <c r="H31" s="14" t="str">
        <f>Order!E31</f>
        <v>Paris</v>
      </c>
      <c r="I31" s="14">
        <f>Order!F31</f>
        <v>0</v>
      </c>
      <c r="J31" s="14">
        <f>Order!G31</f>
        <v>0</v>
      </c>
      <c r="K31" s="14">
        <f>Order!H31</f>
        <v>66</v>
      </c>
      <c r="L31" s="14">
        <f>Order!I31</f>
        <v>0</v>
      </c>
      <c r="N31" s="14" t="s">
        <v>14</v>
      </c>
      <c r="O31" s="14" t="str">
        <f>Order!L31</f>
        <v>Lorry 1</v>
      </c>
      <c r="P31" s="14">
        <f>IF(OR(N31=0,Q31=0),0,INDEX(Distances!$E$15:$P$26,MATCH(N31,Distances!$C$15:$C$26,0),MATCH(Q31,Distances!$E$13:$P$13,0)))</f>
        <v>1134</v>
      </c>
      <c r="Q31" s="14" t="str">
        <f>Order!M31</f>
        <v>Warsaw</v>
      </c>
      <c r="R31" s="14">
        <f>Order!N31</f>
        <v>0</v>
      </c>
      <c r="S31" s="14">
        <f>Order!O31</f>
        <v>0</v>
      </c>
      <c r="T31" s="14">
        <f>Order!P31</f>
        <v>19</v>
      </c>
      <c r="U31" s="14">
        <f>Order!Q31</f>
        <v>0</v>
      </c>
      <c r="W31" s="14" t="s">
        <v>65</v>
      </c>
      <c r="X31" s="14" t="str">
        <f>Order!T31</f>
        <v>Lorry 3</v>
      </c>
      <c r="Y31" s="14">
        <f>IF(OR(W31=0,Z31=0),0,INDEX(Distances!$E$15:$P$26,MATCH(W31,Distances!$C$15:$C$26,0),MATCH(Z31,Distances!$E$13:$P$13,0)))</f>
        <v>360</v>
      </c>
      <c r="Z31" s="14" t="str">
        <f>Order!U31</f>
        <v>Vesoul factory</v>
      </c>
      <c r="AA31" s="14">
        <f>Order!V31</f>
        <v>0</v>
      </c>
      <c r="AB31" s="14">
        <f>Order!W31</f>
        <v>21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65</v>
      </c>
      <c r="F32" s="14" t="str">
        <f>Order!D32</f>
        <v>Lorry 1</v>
      </c>
      <c r="G32" s="14">
        <f>IF(OR(E32=0,H32=0),0,INDEX(Distances!$E$15:$P$26,MATCH(E32,Distances!$C$15:$C$26,0),MATCH(H32,Distances!$E$13:$P$13,0)))</f>
        <v>360</v>
      </c>
      <c r="H32" s="14" t="str">
        <f>Order!E32</f>
        <v>Vesoul factory</v>
      </c>
      <c r="I32" s="14">
        <f>Order!F32</f>
        <v>0</v>
      </c>
      <c r="J32" s="14">
        <f>Order!G32</f>
        <v>50</v>
      </c>
      <c r="K32" s="14">
        <f>Order!H32</f>
        <v>0</v>
      </c>
      <c r="L32" s="14">
        <f>Order!I32</f>
        <v>0</v>
      </c>
      <c r="N32" s="14" t="s">
        <v>81</v>
      </c>
      <c r="O32" s="14" t="str">
        <f>Order!L32</f>
        <v>Lorry 1</v>
      </c>
      <c r="P32" s="14">
        <f>IF(OR(N32=0,Q32=0),0,INDEX(Distances!$E$15:$P$26,MATCH(N32,Distances!$C$15:$C$26,0),MATCH(Q32,Distances!$E$13:$P$13,0)))</f>
        <v>1952</v>
      </c>
      <c r="Q32" s="14" t="str">
        <f>Order!M32</f>
        <v>Kemijarvi</v>
      </c>
      <c r="R32" s="14">
        <f>Order!N32</f>
        <v>0</v>
      </c>
      <c r="S32" s="14">
        <f>Order!O32</f>
        <v>0</v>
      </c>
      <c r="T32" s="14">
        <f>Order!P32</f>
        <v>18</v>
      </c>
      <c r="U32" s="14">
        <f>Order!Q32</f>
        <v>0</v>
      </c>
      <c r="W32" s="14" t="s">
        <v>39</v>
      </c>
      <c r="X32" s="14" t="str">
        <f>Order!T32</f>
        <v>Lorry 3</v>
      </c>
      <c r="Y32" s="14">
        <f>IF(OR(W32=0,Z32=0),0,INDEX(Distances!$E$15:$P$26,MATCH(W32,Distances!$C$15:$C$26,0),MATCH(Z32,Distances!$E$13:$P$13,0)))</f>
        <v>1527</v>
      </c>
      <c r="Z32" s="14" t="str">
        <f>Order!U32</f>
        <v>Madrid</v>
      </c>
      <c r="AA32" s="14">
        <f>Order!V32</f>
        <v>0</v>
      </c>
      <c r="AB32" s="14">
        <f>Order!W32</f>
        <v>0</v>
      </c>
      <c r="AC32" s="14">
        <f>Order!X32</f>
        <v>3</v>
      </c>
      <c r="AD32" s="14">
        <f>Order!Y32</f>
        <v>21</v>
      </c>
    </row>
    <row r="33" spans="5:30" ht="15.75" customHeight="1" x14ac:dyDescent="0.25">
      <c r="E33" s="14" t="s">
        <v>39</v>
      </c>
      <c r="F33" s="14" t="str">
        <f>Order!D33</f>
        <v>Lorry 1</v>
      </c>
      <c r="G33" s="14">
        <f>IF(OR(E33=0,H33=0),0,INDEX(Distances!$E$15:$P$26,MATCH(E33,Distances!$C$15:$C$26,0),MATCH(H33,Distances!$E$13:$P$13,0)))</f>
        <v>967</v>
      </c>
      <c r="H33" s="14" t="str">
        <f>Order!E33</f>
        <v>Berlin</v>
      </c>
      <c r="I33" s="14">
        <f>Order!F33</f>
        <v>0</v>
      </c>
      <c r="J33" s="14">
        <f>Order!G33</f>
        <v>0</v>
      </c>
      <c r="K33" s="14">
        <f>Order!H33</f>
        <v>0</v>
      </c>
      <c r="L33" s="14">
        <f>Order!I33</f>
        <v>15</v>
      </c>
      <c r="N33" s="14" t="s">
        <v>80</v>
      </c>
      <c r="O33" s="14" t="str">
        <f>Order!L33</f>
        <v>Lorry 1</v>
      </c>
      <c r="P33" s="14">
        <f>IF(OR(N33=0,Q33=0),0,INDEX(Distances!$E$15:$P$26,MATCH(N33,Distances!$C$15:$C$26,0),MATCH(Q33,Distances!$E$13:$P$13,0)))</f>
        <v>832</v>
      </c>
      <c r="Q33" s="14" t="str">
        <f>Order!M33</f>
        <v>Rauma</v>
      </c>
      <c r="R33" s="14">
        <f>Order!N33</f>
        <v>0</v>
      </c>
      <c r="S33" s="14">
        <f>Order!O33</f>
        <v>0</v>
      </c>
      <c r="T33" s="14">
        <f>Order!P33</f>
        <v>24</v>
      </c>
      <c r="U33" s="14">
        <f>Order!Q33</f>
        <v>0</v>
      </c>
      <c r="W33" s="14" t="s">
        <v>75</v>
      </c>
      <c r="X33" s="14" t="str">
        <f>Order!T33</f>
        <v>Lorry 3</v>
      </c>
      <c r="Y33" s="14">
        <f>IF(OR(W33=0,Z33=0),0,INDEX(Distances!$E$15:$P$26,MATCH(W33,Distances!$C$15:$C$26,0),MATCH(Z33,Distances!$E$13:$P$13,0)))</f>
        <v>1274</v>
      </c>
      <c r="Z33" s="14" t="str">
        <f>Order!U33</f>
        <v>Paris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82</v>
      </c>
      <c r="F34" s="14" t="str">
        <f>Order!D34</f>
        <v>Lorry 1</v>
      </c>
      <c r="G34" s="14">
        <f>IF(OR(E34=0,H34=0),0,INDEX(Distances!$E$15:$P$26,MATCH(E34,Distances!$C$15:$C$26,0),MATCH(H34,Distances!$E$13:$P$13,0)))</f>
        <v>1483</v>
      </c>
      <c r="H34" s="14" t="str">
        <f>Order!E34</f>
        <v>Rauma</v>
      </c>
      <c r="I34" s="14">
        <f>Order!F34</f>
        <v>0</v>
      </c>
      <c r="J34" s="14">
        <f>Order!G34</f>
        <v>0</v>
      </c>
      <c r="K34" s="14">
        <f>Order!H34</f>
        <v>0</v>
      </c>
      <c r="L34" s="14">
        <f>Order!I34</f>
        <v>17</v>
      </c>
      <c r="N34" s="14" t="s">
        <v>74</v>
      </c>
      <c r="O34" s="14" t="str">
        <f>Order!L34</f>
        <v>Lorry 1</v>
      </c>
      <c r="P34" s="14">
        <f>IF(OR(N34=0,Q34=0),0,INDEX(Distances!$E$15:$P$26,MATCH(N34,Distances!$C$15:$C$26,0),MATCH(Q34,Distances!$E$13:$P$13,0)))</f>
        <v>1483</v>
      </c>
      <c r="Q34" s="14" t="str">
        <f>Order!M34</f>
        <v>Berlin</v>
      </c>
      <c r="R34" s="14">
        <f>Order!N34</f>
        <v>0</v>
      </c>
      <c r="S34" s="14">
        <f>Order!O34</f>
        <v>0</v>
      </c>
      <c r="T34" s="14">
        <f>Order!P34</f>
        <v>5</v>
      </c>
      <c r="U34" s="14">
        <f>Order!Q34</f>
        <v>0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74</v>
      </c>
      <c r="F35" s="14" t="str">
        <f>Order!D35</f>
        <v>Lorry 1</v>
      </c>
      <c r="G35" s="14">
        <f>IF(OR(E35=0,H35=0),0,INDEX(Distances!$E$15:$P$26,MATCH(E35,Distances!$C$15:$C$26,0),MATCH(H35,Distances!$E$13:$P$13,0)))</f>
        <v>832</v>
      </c>
      <c r="H35" s="14" t="str">
        <f>Order!E35</f>
        <v>Kemijarvi</v>
      </c>
      <c r="I35" s="14">
        <f>Order!F35</f>
        <v>0</v>
      </c>
      <c r="J35" s="14">
        <f>Order!G35</f>
        <v>0</v>
      </c>
      <c r="K35" s="14">
        <f>Order!H35</f>
        <v>0</v>
      </c>
      <c r="L35" s="14">
        <f>Order!I35</f>
        <v>18</v>
      </c>
      <c r="N35" s="14" t="s">
        <v>82</v>
      </c>
      <c r="O35" s="14" t="str">
        <f>Order!L35</f>
        <v>Lorry 1</v>
      </c>
      <c r="P35" s="14">
        <f>IF(OR(N35=0,Q35=0),0,INDEX(Distances!$E$15:$P$26,MATCH(N35,Distances!$C$15:$C$26,0),MATCH(Q35,Distances!$E$13:$P$13,0)))</f>
        <v>597</v>
      </c>
      <c r="Q35" s="14" t="str">
        <f>Order!M35</f>
        <v>Arnhem factory</v>
      </c>
      <c r="R35" s="14">
        <f>Order!N35</f>
        <v>66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80</v>
      </c>
      <c r="F36" s="14" t="str">
        <f>Order!D36</f>
        <v>Lorry 1</v>
      </c>
      <c r="G36" s="14">
        <f>IF(OR(E36=0,H36=0),0,INDEX(Distances!$E$15:$P$26,MATCH(E36,Distances!$C$15:$C$26,0),MATCH(H36,Distances!$E$13:$P$13,0)))</f>
        <v>2597</v>
      </c>
      <c r="H36" s="14" t="str">
        <f>Order!E36</f>
        <v>Arnhem factory</v>
      </c>
      <c r="I36" s="14">
        <f>Order!F36</f>
        <v>66</v>
      </c>
      <c r="J36" s="14">
        <f>Order!G36</f>
        <v>0</v>
      </c>
      <c r="K36" s="14">
        <f>Order!H36</f>
        <v>0</v>
      </c>
      <c r="L36" s="14">
        <f>Order!I36</f>
        <v>0</v>
      </c>
      <c r="N36" s="14" t="s">
        <v>65</v>
      </c>
      <c r="O36" s="14" t="str">
        <f>Order!L36</f>
        <v>Lorry 3</v>
      </c>
      <c r="P36" s="14">
        <f>IF(OR(N36=0,Q36=0),0,INDEX(Distances!$E$15:$P$26,MATCH(N36,Distances!$C$15:$C$26,0),MATCH(Q36,Distances!$E$13:$P$13,0)))</f>
        <v>360</v>
      </c>
      <c r="Q36" s="14" t="str">
        <f>Order!M36</f>
        <v>Vesoul factory</v>
      </c>
      <c r="R36" s="14">
        <f>Order!N36</f>
        <v>0</v>
      </c>
      <c r="S36" s="14">
        <f>Order!O36</f>
        <v>4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>
        <v>0</v>
      </c>
      <c r="F37" s="14">
        <f>Order!D37</f>
        <v>0</v>
      </c>
      <c r="G37" s="14">
        <f>IF(OR(E37=0,H37=0),0,INDEX(Distances!$E$15:$P$26,MATCH(E37,Distances!$C$15:$C$26,0),MATCH(H37,Distances!$E$13:$P$13,0)))</f>
        <v>0</v>
      </c>
      <c r="H37" s="14">
        <f>Order!E37</f>
        <v>0</v>
      </c>
      <c r="I37" s="14">
        <f>Order!F37</f>
        <v>0</v>
      </c>
      <c r="J37" s="14">
        <f>Order!G37</f>
        <v>0</v>
      </c>
      <c r="K37" s="14">
        <f>Order!H37</f>
        <v>0</v>
      </c>
      <c r="L37" s="14">
        <f>Order!I37</f>
        <v>0</v>
      </c>
      <c r="N37" s="14" t="s">
        <v>39</v>
      </c>
      <c r="O37" s="14" t="str">
        <f>Order!L37</f>
        <v>Lorry 3</v>
      </c>
      <c r="P37" s="14">
        <f>IF(OR(N37=0,Q37=0),0,INDEX(Distances!$E$15:$P$26,MATCH(N37,Distances!$C$15:$C$26,0),MATCH(Q37,Distances!$E$13:$P$13,0)))</f>
        <v>637</v>
      </c>
      <c r="Q37" s="14" t="str">
        <f>Order!M37</f>
        <v>Arnhem factory</v>
      </c>
      <c r="R37" s="14">
        <f>Order!N37</f>
        <v>20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>
        <v>0</v>
      </c>
      <c r="F38" s="14">
        <f>Order!D38</f>
        <v>0</v>
      </c>
      <c r="G38" s="14">
        <f>IF(OR(E38=0,H38=0),0,INDEX(Distances!$E$15:$P$26,MATCH(E38,Distances!$C$15:$C$26,0),MATCH(H38,Distances!$E$13:$P$13,0)))</f>
        <v>0</v>
      </c>
      <c r="H38" s="14">
        <f>Order!E38</f>
        <v>0</v>
      </c>
      <c r="I38" s="14">
        <f>Order!F38</f>
        <v>0</v>
      </c>
      <c r="J38" s="14">
        <f>Order!G38</f>
        <v>0</v>
      </c>
      <c r="K38" s="14">
        <f>Order!H38</f>
        <v>0</v>
      </c>
      <c r="L38" s="14">
        <f>Order!I38</f>
        <v>0</v>
      </c>
      <c r="N38" s="14" t="s">
        <v>14</v>
      </c>
      <c r="O38" s="14" t="str">
        <f>Order!L38</f>
        <v>Lorry 3</v>
      </c>
      <c r="P38" s="14">
        <f>IF(OR(N38=0,Q38=0),0,INDEX(Distances!$E$15:$P$26,MATCH(N38,Distances!$C$15:$C$26,0),MATCH(Q38,Distances!$E$13:$P$13,0)))</f>
        <v>597</v>
      </c>
      <c r="Q38" s="14" t="str">
        <f>Order!M38</f>
        <v>Berlin</v>
      </c>
      <c r="R38" s="14">
        <f>Order!N38</f>
        <v>0</v>
      </c>
      <c r="S38" s="14">
        <f>Order!O38</f>
        <v>0</v>
      </c>
      <c r="T38" s="14">
        <f>Order!P38</f>
        <v>20</v>
      </c>
      <c r="U38" s="14">
        <f>Order!Q38</f>
        <v>4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>
        <v>0</v>
      </c>
      <c r="F39" s="14">
        <f>Order!D39</f>
        <v>0</v>
      </c>
      <c r="G39" s="14">
        <f>IF(OR(E39=0,H39=0),0,INDEX(Distances!$E$15:$P$26,MATCH(E39,Distances!$C$15:$C$26,0),MATCH(H39,Distances!$E$13:$P$13,0)))</f>
        <v>0</v>
      </c>
      <c r="H39" s="14">
        <f>Order!E39</f>
        <v>0</v>
      </c>
      <c r="I39" s="14">
        <f>Order!F39</f>
        <v>0</v>
      </c>
      <c r="J39" s="14">
        <f>Order!G39</f>
        <v>0</v>
      </c>
      <c r="K39" s="14">
        <f>Order!H39</f>
        <v>0</v>
      </c>
      <c r="L39" s="14">
        <f>Order!I39</f>
        <v>0</v>
      </c>
      <c r="N39" s="14" t="s">
        <v>82</v>
      </c>
      <c r="O39" s="14" t="str">
        <f>Order!L39</f>
        <v>Lorry 3</v>
      </c>
      <c r="P39" s="14">
        <f>IF(OR(N39=0,Q39=0),0,INDEX(Distances!$E$15:$P$26,MATCH(N39,Distances!$C$15:$C$26,0),MATCH(Q39,Distances!$E$13:$P$13,0)))</f>
        <v>1408</v>
      </c>
      <c r="Q39" s="14" t="str">
        <f>Order!M39</f>
        <v>Paris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>
        <v>0</v>
      </c>
      <c r="F40" s="14">
        <f>Order!D40</f>
        <v>0</v>
      </c>
      <c r="G40" s="14">
        <f>IF(OR(E40=0,H40=0),0,INDEX(Distances!$E$15:$P$26,MATCH(E40,Distances!$C$15:$C$26,0),MATCH(H40,Distances!$E$13:$P$13,0)))</f>
        <v>0</v>
      </c>
      <c r="H40" s="14">
        <f>Order!E40</f>
        <v>0</v>
      </c>
      <c r="I40" s="14">
        <f>Order!F40</f>
        <v>0</v>
      </c>
      <c r="J40" s="14">
        <f>Order!G40</f>
        <v>0</v>
      </c>
      <c r="K40" s="14">
        <f>Order!H40</f>
        <v>0</v>
      </c>
      <c r="L40" s="14">
        <f>Order!I40</f>
        <v>0</v>
      </c>
      <c r="N40" s="14" t="s">
        <v>14</v>
      </c>
      <c r="O40" s="14" t="str">
        <f>Order!L40</f>
        <v>Lorry 1</v>
      </c>
      <c r="P40" s="14">
        <f>IF(OR(N40=0,Q40=0),0,INDEX(Distances!$E$15:$P$26,MATCH(N40,Distances!$C$15:$C$26,0),MATCH(Q40,Distances!$E$13:$P$13,0)))</f>
        <v>1301</v>
      </c>
      <c r="Q40" s="14" t="str">
        <f>Order!M40</f>
        <v>Budapest</v>
      </c>
      <c r="R40" s="14">
        <f>Order!N40</f>
        <v>0</v>
      </c>
      <c r="S40" s="14">
        <f>Order!O40</f>
        <v>0</v>
      </c>
      <c r="T40" s="14">
        <f>Order!P40</f>
        <v>66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>
        <v>0</v>
      </c>
      <c r="F41" s="14">
        <f>Order!D41</f>
        <v>0</v>
      </c>
      <c r="G41" s="14">
        <f>IF(OR(E41=0,H41=0),0,INDEX(Distances!$E$15:$P$26,MATCH(E41,Distances!$C$15:$C$26,0),MATCH(H41,Distances!$E$13:$P$13,0)))</f>
        <v>0</v>
      </c>
      <c r="H41" s="14">
        <f>Order!E41</f>
        <v>0</v>
      </c>
      <c r="I41" s="14">
        <f>Order!F41</f>
        <v>0</v>
      </c>
      <c r="J41" s="14">
        <f>Order!G41</f>
        <v>0</v>
      </c>
      <c r="K41" s="14">
        <f>Order!H41</f>
        <v>0</v>
      </c>
      <c r="L41" s="14">
        <f>Order!I41</f>
        <v>0</v>
      </c>
      <c r="N41" s="14" t="s">
        <v>79</v>
      </c>
      <c r="O41" s="14" t="str">
        <f>Order!L41</f>
        <v>Lorry 1</v>
      </c>
      <c r="P41" s="14">
        <f>IF(OR(N41=0,Q41=0),0,INDEX(Distances!$E$15:$P$26,MATCH(N41,Distances!$C$15:$C$26,0),MATCH(Q41,Distances!$E$13:$P$13,0)))</f>
        <v>1301</v>
      </c>
      <c r="Q41" s="14" t="str">
        <f>Order!M41</f>
        <v>Arnhem factory</v>
      </c>
      <c r="R41" s="14">
        <f>Order!N41</f>
        <v>66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39</v>
      </c>
      <c r="F42" s="14" t="str">
        <f>Order!D42</f>
        <v>Lorry 2</v>
      </c>
      <c r="G42" s="14">
        <f>IF(OR(E42=0,H42=0),0,INDEX(Distances!$E$15:$P$26,MATCH(E42,Distances!$C$15:$C$26,0),MATCH(H42,Distances!$E$13:$P$13,0)))</f>
        <v>360</v>
      </c>
      <c r="H42" s="14" t="str">
        <f>Order!E42</f>
        <v>Paris</v>
      </c>
      <c r="I42" s="14">
        <f>Order!F42</f>
        <v>16</v>
      </c>
      <c r="J42" s="14">
        <f>Order!G42</f>
        <v>0</v>
      </c>
      <c r="K42" s="14">
        <f>Order!H42</f>
        <v>0</v>
      </c>
      <c r="L42" s="14">
        <f>Order!I42</f>
        <v>12</v>
      </c>
      <c r="N42" s="14" t="s">
        <v>14</v>
      </c>
      <c r="O42" s="14" t="str">
        <f>Order!L42</f>
        <v>Lorry 1</v>
      </c>
      <c r="P42" s="14">
        <f>IF(OR(N42=0,Q42=0),0,INDEX(Distances!$E$15:$P$26,MATCH(N42,Distances!$C$15:$C$26,0),MATCH(Q42,Distances!$E$13:$P$13,0)))</f>
        <v>1771</v>
      </c>
      <c r="Q42" s="14" t="str">
        <f>Order!M42</f>
        <v>Rauma</v>
      </c>
      <c r="R42" s="14">
        <f>Order!N42</f>
        <v>0</v>
      </c>
      <c r="S42" s="14">
        <f>Order!O42</f>
        <v>0</v>
      </c>
      <c r="T42" s="14">
        <f>Order!P42</f>
        <v>66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65</v>
      </c>
      <c r="F43" s="14" t="str">
        <f>Order!D43</f>
        <v>Lorry 2</v>
      </c>
      <c r="G43" s="14">
        <f>IF(OR(E43=0,H43=0),0,INDEX(Distances!$E$15:$P$26,MATCH(E43,Distances!$C$15:$C$26,0),MATCH(H43,Distances!$E$13:$P$13,0)))</f>
        <v>2284</v>
      </c>
      <c r="H43" s="14" t="str">
        <f>Order!E43</f>
        <v>Bucharest</v>
      </c>
      <c r="I43" s="14">
        <f>Order!F43</f>
        <v>0</v>
      </c>
      <c r="J43" s="14">
        <f>Order!G43</f>
        <v>0</v>
      </c>
      <c r="K43" s="14">
        <f>Order!H43</f>
        <v>16</v>
      </c>
      <c r="L43" s="14">
        <f>Order!I43</f>
        <v>17</v>
      </c>
      <c r="N43" s="14" t="s">
        <v>39</v>
      </c>
      <c r="O43" s="14" t="str">
        <f>Order!L43</f>
        <v>Lorry 2</v>
      </c>
      <c r="P43" s="14">
        <f>IF(OR(N43=0,Q43=0),0,INDEX(Distances!$E$15:$P$26,MATCH(N43,Distances!$C$15:$C$26,0),MATCH(Q43,Distances!$E$13:$P$13,0)))</f>
        <v>637</v>
      </c>
      <c r="Q43" s="14" t="str">
        <f>Order!M43</f>
        <v>Arnhem factory</v>
      </c>
      <c r="R43" s="14">
        <f>Order!N43</f>
        <v>50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78</v>
      </c>
      <c r="F44" s="14" t="str">
        <f>Order!D44</f>
        <v>Lorry 2</v>
      </c>
      <c r="G44" s="14">
        <f>IF(OR(E44=0,H44=0),0,INDEX(Distances!$E$15:$P$26,MATCH(E44,Distances!$C$15:$C$26,0),MATCH(H44,Distances!$E$13:$P$13,0)))</f>
        <v>796</v>
      </c>
      <c r="H44" s="14" t="str">
        <f>Order!E44</f>
        <v>Budapest</v>
      </c>
      <c r="I44" s="14">
        <f>Order!F44</f>
        <v>0</v>
      </c>
      <c r="J44" s="14">
        <f>Order!G44</f>
        <v>0</v>
      </c>
      <c r="K44" s="14">
        <f>Order!H44</f>
        <v>0</v>
      </c>
      <c r="L44" s="14">
        <f>Order!I44</f>
        <v>21</v>
      </c>
      <c r="N44" s="14" t="s">
        <v>14</v>
      </c>
      <c r="O44" s="14" t="str">
        <f>Order!L44</f>
        <v>Lorry 2</v>
      </c>
      <c r="P44" s="14">
        <f>IF(OR(N44=0,Q44=0),0,INDEX(Distances!$E$15:$P$26,MATCH(N44,Distances!$C$15:$C$26,0),MATCH(Q44,Distances!$E$13:$P$13,0)))</f>
        <v>1764</v>
      </c>
      <c r="Q44" s="14" t="str">
        <f>Order!M44</f>
        <v>Madrid</v>
      </c>
      <c r="R44" s="14">
        <f>Order!N44</f>
        <v>0</v>
      </c>
      <c r="S44" s="14">
        <f>Order!O44</f>
        <v>0</v>
      </c>
      <c r="T44" s="14">
        <f>Order!P44</f>
        <v>50</v>
      </c>
      <c r="U44" s="14">
        <f>Order!Q44</f>
        <v>15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79</v>
      </c>
      <c r="F45" s="14" t="str">
        <f>Order!D45</f>
        <v>Lorry 2</v>
      </c>
      <c r="G45" s="14">
        <f>IF(OR(E45=0,H45=0),0,INDEX(Distances!$E$15:$P$26,MATCH(E45,Distances!$C$15:$C$26,0),MATCH(H45,Distances!$E$13:$P$13,0)))</f>
        <v>1224</v>
      </c>
      <c r="H45" s="14" t="str">
        <f>Order!E45</f>
        <v>Vesoul factory</v>
      </c>
      <c r="I45" s="14">
        <f>Order!F45</f>
        <v>0</v>
      </c>
      <c r="J45" s="14">
        <f>Order!G45</f>
        <v>50</v>
      </c>
      <c r="K45" s="14">
        <f>Order!H45</f>
        <v>0</v>
      </c>
      <c r="L45" s="14">
        <f>Order!I45</f>
        <v>0</v>
      </c>
      <c r="N45" s="14" t="s">
        <v>75</v>
      </c>
      <c r="O45" s="14" t="str">
        <f>Order!L45</f>
        <v>Lorry 2</v>
      </c>
      <c r="P45" s="14">
        <f>IF(OR(N45=0,Q45=0),0,INDEX(Distances!$E$15:$P$26,MATCH(N45,Distances!$C$15:$C$26,0),MATCH(Q45,Distances!$E$13:$P$13,0)))</f>
        <v>1527</v>
      </c>
      <c r="Q45" s="14" t="str">
        <f>Order!M45</f>
        <v>Vesoul factory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14</v>
      </c>
      <c r="F46" s="14" t="str">
        <f>Order!D46</f>
        <v>Lorry 1</v>
      </c>
      <c r="G46" s="14">
        <f>IF(OR(E46=0,H46=0),0,INDEX(Distances!$E$15:$P$26,MATCH(E46,Distances!$C$15:$C$26,0),MATCH(H46,Distances!$E$13:$P$13,0)))</f>
        <v>1577</v>
      </c>
      <c r="H46" s="14" t="str">
        <f>Order!E46</f>
        <v>Rome</v>
      </c>
      <c r="I46" s="14">
        <f>Order!F46</f>
        <v>0</v>
      </c>
      <c r="J46" s="14">
        <f>Order!G46</f>
        <v>0</v>
      </c>
      <c r="K46" s="14">
        <f>Order!H46</f>
        <v>31</v>
      </c>
      <c r="L46" s="14">
        <f>Order!I46</f>
        <v>0</v>
      </c>
      <c r="N46" s="14" t="s">
        <v>65</v>
      </c>
      <c r="O46" s="14" t="str">
        <f>Order!L46</f>
        <v>Lorry 3</v>
      </c>
      <c r="P46" s="14">
        <f>IF(OR(N46=0,Q46=0),0,INDEX(Distances!$E$15:$P$26,MATCH(N46,Distances!$C$15:$C$26,0),MATCH(Q46,Distances!$E$13:$P$13,0)))</f>
        <v>360</v>
      </c>
      <c r="Q46" s="14" t="str">
        <f>Order!M46</f>
        <v>Vesoul factory</v>
      </c>
      <c r="R46" s="14">
        <f>Order!N46</f>
        <v>0</v>
      </c>
      <c r="S46" s="14">
        <f>Order!O46</f>
        <v>24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77</v>
      </c>
      <c r="F47" s="14" t="str">
        <f>Order!D47</f>
        <v>Lorry 1</v>
      </c>
      <c r="G47" s="14">
        <f>IF(OR(E47=0,H47=0),0,INDEX(Distances!$E$15:$P$26,MATCH(E47,Distances!$C$15:$C$26,0),MATCH(H47,Distances!$E$13:$P$13,0)))</f>
        <v>584</v>
      </c>
      <c r="H47" s="14" t="str">
        <f>Order!E47</f>
        <v>Milan</v>
      </c>
      <c r="I47" s="14">
        <f>Order!F47</f>
        <v>0</v>
      </c>
      <c r="J47" s="14">
        <f>Order!G47</f>
        <v>0</v>
      </c>
      <c r="K47" s="14">
        <f>Order!H47</f>
        <v>30</v>
      </c>
      <c r="L47" s="14">
        <f>Order!I47</f>
        <v>0</v>
      </c>
      <c r="N47" s="14" t="s">
        <v>39</v>
      </c>
      <c r="O47" s="14" t="str">
        <f>Order!L47</f>
        <v>Lorry 3</v>
      </c>
      <c r="P47" s="14">
        <f>IF(OR(N47=0,Q47=0),0,INDEX(Distances!$E$15:$P$26,MATCH(N47,Distances!$C$15:$C$26,0),MATCH(Q47,Distances!$E$13:$P$13,0)))</f>
        <v>360</v>
      </c>
      <c r="Q47" s="14" t="str">
        <f>Order!M47</f>
        <v>Paris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24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 t="s">
        <v>76</v>
      </c>
      <c r="F48" s="14" t="str">
        <f>Order!D48</f>
        <v>Lorry 1</v>
      </c>
      <c r="G48" s="14">
        <f>IF(OR(E48=0,H48=0),0,INDEX(Distances!$E$15:$P$26,MATCH(E48,Distances!$C$15:$C$26,0),MATCH(H48,Distances!$E$13:$P$13,0)))</f>
        <v>1028</v>
      </c>
      <c r="H48" s="14" t="str">
        <f>Order!E48</f>
        <v>Berlin</v>
      </c>
      <c r="I48" s="14">
        <f>Order!F48</f>
        <v>0</v>
      </c>
      <c r="J48" s="14">
        <f>Order!G48</f>
        <v>0</v>
      </c>
      <c r="K48" s="14">
        <f>Order!H48</f>
        <v>5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 t="s">
        <v>82</v>
      </c>
      <c r="F49" s="14" t="str">
        <f>Order!D49</f>
        <v>Lorry 1</v>
      </c>
      <c r="G49" s="14">
        <f>IF(OR(E49=0,H49=0),0,INDEX(Distances!$E$15:$P$26,MATCH(E49,Distances!$C$15:$C$26,0),MATCH(H49,Distances!$E$13:$P$13,0)))</f>
        <v>597</v>
      </c>
      <c r="H49" s="14" t="str">
        <f>Order!E49</f>
        <v>Arnhem factory</v>
      </c>
      <c r="I49" s="14">
        <f>Order!F49</f>
        <v>66</v>
      </c>
      <c r="J49" s="14">
        <f>Order!G49</f>
        <v>0</v>
      </c>
      <c r="K49" s="14">
        <f>Order!H49</f>
        <v>0</v>
      </c>
      <c r="L49" s="14">
        <f>Order!I49</f>
        <v>0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 t="s">
        <v>39</v>
      </c>
      <c r="F50" s="14" t="str">
        <f>Order!D50</f>
        <v>Lorry 2</v>
      </c>
      <c r="G50" s="14">
        <f>IF(OR(E50=0,H50=0),0,INDEX(Distances!$E$15:$P$26,MATCH(E50,Distances!$C$15:$C$26,0),MATCH(H50,Distances!$E$13:$P$13,0)))</f>
        <v>1081</v>
      </c>
      <c r="H50" s="14" t="str">
        <f>Order!E50</f>
        <v>Rome</v>
      </c>
      <c r="I50" s="14">
        <f>Order!F50</f>
        <v>0</v>
      </c>
      <c r="J50" s="14">
        <f>Order!G50</f>
        <v>0</v>
      </c>
      <c r="K50" s="14">
        <f>Order!H50</f>
        <v>0</v>
      </c>
      <c r="L50" s="14">
        <f>Order!I50</f>
        <v>25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74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1771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 t="s">
        <v>77</v>
      </c>
      <c r="F51" s="14" t="str">
        <f>Order!D51</f>
        <v>Lorry 2</v>
      </c>
      <c r="G51" s="14">
        <f>IF(OR(E51=0,H51=0),0,INDEX(Distances!$E$15:$P$26,MATCH(E51,Distances!$C$15:$C$26,0),MATCH(H51,Distances!$E$13:$P$13,0)))</f>
        <v>584</v>
      </c>
      <c r="H51" s="14" t="str">
        <f>Order!E51</f>
        <v>Milan</v>
      </c>
      <c r="I51" s="14">
        <f>Order!F51</f>
        <v>0</v>
      </c>
      <c r="J51" s="14">
        <f>Order!G51</f>
        <v>0</v>
      </c>
      <c r="K51" s="14">
        <f>Order!H51</f>
        <v>0</v>
      </c>
      <c r="L51" s="14">
        <f>Order!I51</f>
        <v>22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39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0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 t="s">
        <v>76</v>
      </c>
      <c r="F52" s="14" t="str">
        <f>Order!D52</f>
        <v>Lorry 2</v>
      </c>
      <c r="G52" s="14">
        <f>IF(OR(E52=0,H52=0),0,INDEX(Distances!$E$15:$P$26,MATCH(E52,Distances!$C$15:$C$26,0),MATCH(H52,Distances!$E$13:$P$13,0)))</f>
        <v>484</v>
      </c>
      <c r="H52" s="14" t="str">
        <f>Order!E52</f>
        <v>Vesoul factory</v>
      </c>
      <c r="I52" s="14">
        <f>Order!F52</f>
        <v>0</v>
      </c>
      <c r="J52" s="14">
        <f>Order!G52</f>
        <v>47</v>
      </c>
      <c r="K52" s="14">
        <f>Order!H52</f>
        <v>0</v>
      </c>
      <c r="L52" s="14">
        <f>Order!I52</f>
        <v>0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65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0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289.11666666666667</v>
      </c>
      <c r="I54" s="2">
        <f>SUM(I28:I52)</f>
        <v>214</v>
      </c>
      <c r="P54" s="2">
        <f>SUM(P28:P52)/60</f>
        <v>345.93333333333334</v>
      </c>
      <c r="Y54" s="2">
        <f>SUM(Y28:Y52)/60</f>
        <v>124.66666666666667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38B8-135F-4B0B-BF90-6048A7373BEC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7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piam</dc:creator>
  <cp:lastModifiedBy>piam</cp:lastModifiedBy>
  <dcterms:created xsi:type="dcterms:W3CDTF">2024-03-13T13:19:20Z</dcterms:created>
  <dcterms:modified xsi:type="dcterms:W3CDTF">2024-03-13T13:19:22Z</dcterms:modified>
</cp:coreProperties>
</file>