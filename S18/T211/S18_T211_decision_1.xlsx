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rnaud/Desktop/"/>
    </mc:Choice>
  </mc:AlternateContent>
  <xr:revisionPtr revIDLastSave="0" documentId="8_{5B946A61-9501-B248-8109-C94047304298}" xr6:coauthVersionLast="36" xr6:coauthVersionMax="36" xr10:uidLastSave="{00000000-0000-0000-0000-000000000000}"/>
  <workbookProtection lockStructure="1"/>
  <bookViews>
    <workbookView xWindow="0" yWindow="460" windowWidth="28660" windowHeight="16320" tabRatio="500" xr2:uid="{00000000-000D-0000-FFFF-FFFF00000000}"/>
  </bookViews>
  <sheets>
    <sheet name="decision_template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70" i="1" l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P23" i="1"/>
  <c r="O23" i="1"/>
  <c r="N23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<sst xmlns="http://schemas.openxmlformats.org/spreadsheetml/2006/main" count="124" uniqueCount="56">
  <si>
    <t>Distribution</t>
  </si>
  <si>
    <t>Production in Europe</t>
  </si>
  <si>
    <t>Lorry</t>
  </si>
  <si>
    <t>Town</t>
  </si>
  <si>
    <t>Loading</t>
  </si>
  <si>
    <t>Unloading</t>
  </si>
  <si>
    <t>Arnhem factory</t>
  </si>
  <si>
    <t>Nectar</t>
  </si>
  <si>
    <t>Cordial</t>
  </si>
  <si>
    <t>Lorry 1</t>
  </si>
  <si>
    <t>Nectar packaging</t>
  </si>
  <si>
    <t>x 30 pallets</t>
  </si>
  <si>
    <t>Lorry 2</t>
  </si>
  <si>
    <t>Vesoul factory</t>
  </si>
  <si>
    <t>Nectar production</t>
  </si>
  <si>
    <t>x 1 vat</t>
  </si>
  <si>
    <t>Lorry 3</t>
  </si>
  <si>
    <t>Paris</t>
  </si>
  <si>
    <t>Hiring</t>
  </si>
  <si>
    <t>x 1 person</t>
  </si>
  <si>
    <t>Laying-off</t>
  </si>
  <si>
    <t>Pack Purchasing</t>
  </si>
  <si>
    <t>x 1 batch</t>
  </si>
  <si>
    <t>Milan</t>
  </si>
  <si>
    <t>Puree Purchasing</t>
  </si>
  <si>
    <t>x 1 bin</t>
  </si>
  <si>
    <t>Rome</t>
  </si>
  <si>
    <t>Concentrate Purchasing for Arnhem</t>
  </si>
  <si>
    <t>Cordial packaging</t>
  </si>
  <si>
    <t>x 20 pallets</t>
  </si>
  <si>
    <t>Berlin</t>
  </si>
  <si>
    <t>Cordial production</t>
  </si>
  <si>
    <t>Warsaw</t>
  </si>
  <si>
    <t>Budapest</t>
  </si>
  <si>
    <t>Bucharest</t>
  </si>
  <si>
    <t>Bottle Purchasing</t>
  </si>
  <si>
    <t>Sugar Purchasing</t>
  </si>
  <si>
    <t>x 1 tonne</t>
  </si>
  <si>
    <t>Concentrate Purchasing for Vesoul</t>
  </si>
  <si>
    <t>Rauma</t>
  </si>
  <si>
    <t>CCFFCC</t>
  </si>
  <si>
    <t>Kemijarvi</t>
  </si>
  <si>
    <t>Intercontinental transport</t>
  </si>
  <si>
    <t>Puree transport to Arnhem</t>
  </si>
  <si>
    <t>Concentrate transport to Arnhem</t>
  </si>
  <si>
    <t>Concentrate transport to Vesoul</t>
  </si>
  <si>
    <t>FFFF99</t>
  </si>
  <si>
    <t>Auckland factory</t>
  </si>
  <si>
    <t>Purchasing and pression of kiwis</t>
  </si>
  <si>
    <t>x (4 bins of puree  + 1 bin of concentrate)</t>
  </si>
  <si>
    <t>Puree sale</t>
  </si>
  <si>
    <t>Concentrate sale</t>
  </si>
  <si>
    <t>FF99CC</t>
  </si>
  <si>
    <t>CCFFFF</t>
  </si>
  <si>
    <t>Kiwi Game</t>
  </si>
  <si>
    <t>Production in New-Zealand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</si>
</sst>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0"/>
      <color rgb="FFCCCCCC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i/>
      <sz val="24"/>
      <color theme="0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89013336588644"/>
        <bgColor rgb="FFDDF2FE"/>
      </patternFill>
    </fill>
    <fill>
      <patternFill patternType="solid">
        <fgColor theme="4" tint="0.79989013336588644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4.9989318521683403E-2"/>
      </left>
      <right style="medium">
        <color theme="3" tint="0.49989318521683401"/>
      </right>
      <top style="medium">
        <color theme="0" tint="-4.9989318521683403E-2"/>
      </top>
      <bottom style="medium">
        <color theme="3" tint="0.49989318521683401"/>
      </bottom>
      <diagonal/>
    </border>
    <border>
      <left style="thick">
        <color theme="0" tint="-4.9989318521683403E-2"/>
      </left>
      <right style="thick">
        <color theme="1" tint="0.49989318521683401"/>
      </right>
      <top style="thick">
        <color theme="0" tint="-4.9989318521683403E-2"/>
      </top>
      <bottom style="thick">
        <color theme="1" tint="0.49989318521683401"/>
      </bottom>
      <diagonal/>
    </border>
    <border>
      <left style="thin">
        <color auto="1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auto="1"/>
      </right>
      <top style="thin">
        <color auto="1"/>
      </top>
      <bottom style="thin">
        <color theme="2" tint="-0.249977111117893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auto="1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3" tint="0.49989318521683401"/>
      </left>
      <right style="thin">
        <color theme="2" tint="-0.249977111117893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4.9989318521683403E-2"/>
      </right>
      <top style="medium">
        <color theme="3" tint="0.49989318521683401"/>
      </top>
      <bottom style="thin">
        <color theme="2" tint="-0.24997711111789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3" tint="0.49989318521683401"/>
      </left>
      <right style="medium">
        <color theme="2" tint="-0.14999847407452621"/>
      </right>
      <top style="medium">
        <color auto="1"/>
      </top>
      <bottom style="thin">
        <color theme="2" tint="-0.24997711111789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3" tint="0.4998931852168340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4.9989318521683403E-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/>
      <bottom/>
      <diagonal/>
    </border>
    <border>
      <left style="medium">
        <color theme="3" tint="0.49989318521683401"/>
      </left>
      <right style="medium">
        <color theme="2" tint="-0.1499984740745262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medium">
        <color theme="2" tint="-0.499984740745262"/>
      </left>
      <right style="thin">
        <color theme="2" tint="-0.249977111117893"/>
      </right>
      <top style="medium">
        <color theme="2" tint="-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499984740745262"/>
      </top>
      <bottom style="thin">
        <color theme="2" tint="-0.249977111117893"/>
      </bottom>
      <diagonal/>
    </border>
    <border>
      <left style="medium">
        <color theme="2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3" tint="0.49989318521683401"/>
      </left>
      <right style="medium">
        <color theme="2" tint="-0.14999847407452621"/>
      </right>
      <top style="thin">
        <color theme="2" tint="-0.249977111117893"/>
      </top>
      <bottom style="medium">
        <color theme="2" tint="-0.149998474074526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2" tint="-0.499984740745262"/>
      </left>
      <right style="thin">
        <color theme="2" tint="-0.249977111117893"/>
      </right>
      <top style="thin">
        <color theme="2" tint="-0.249977111117893"/>
      </top>
      <bottom style="medium">
        <color theme="2" tint="-0.149998474074526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14999847407452621"/>
      </bottom>
      <diagonal/>
    </border>
    <border>
      <left style="thin">
        <color auto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 tint="0.49989318521683401"/>
      </right>
      <top style="medium">
        <color theme="2" tint="-0.1499984740745262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3" tint="0.499893185216834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medium">
        <color theme="3" tint="0.49989318521683401"/>
      </right>
      <top style="thin">
        <color theme="2" tint="-0.249977111117893"/>
      </top>
      <bottom style="thin">
        <color auto="1"/>
      </bottom>
      <diagonal/>
    </border>
    <border>
      <left style="medium">
        <color theme="3" tint="0.49989318521683401"/>
      </left>
      <right style="thin">
        <color theme="2" tint="-0.249977111117893"/>
      </right>
      <top style="thin">
        <color theme="2" tint="-0.249977111117893"/>
      </top>
      <bottom style="medium">
        <color theme="2" tint="-4.9989318521683403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4.9989318521683403E-2"/>
      </bottom>
      <diagonal/>
    </border>
    <border>
      <left style="thin">
        <color theme="2" tint="-0.249977111117893"/>
      </left>
      <right style="medium">
        <color theme="2" tint="-4.9989318521683403E-2"/>
      </right>
      <top style="thin">
        <color theme="2" tint="-0.249977111117893"/>
      </top>
      <bottom style="medium">
        <color theme="2" tint="-4.9989318521683403E-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3" fillId="4" borderId="2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4" fillId="0" borderId="0" xfId="0" applyFont="1" applyAlignment="1">
      <alignment wrapText="1"/>
    </xf>
    <xf numFmtId="0" fontId="0" fillId="6" borderId="16" xfId="0" applyFill="1" applyBorder="1"/>
    <xf numFmtId="0" fontId="0" fillId="6" borderId="18" xfId="0" applyFill="1" applyBorder="1"/>
    <xf numFmtId="0" fontId="0" fillId="6" borderId="21" xfId="0" applyFill="1" applyBorder="1"/>
    <xf numFmtId="0" fontId="0" fillId="6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6" borderId="29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4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3" fillId="9" borderId="1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0" fillId="10" borderId="32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10" borderId="33" xfId="0" applyFill="1" applyBorder="1"/>
    <xf numFmtId="0" fontId="0" fillId="10" borderId="34" xfId="0" applyFill="1" applyBorder="1"/>
    <xf numFmtId="0" fontId="0" fillId="5" borderId="37" xfId="0" applyFill="1" applyBorder="1"/>
    <xf numFmtId="0" fontId="0" fillId="5" borderId="38" xfId="0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42" xfId="0" applyFill="1" applyBorder="1"/>
    <xf numFmtId="0" fontId="5" fillId="0" borderId="0" xfId="0" applyFont="1" applyAlignment="1">
      <alignment horizontal="center"/>
    </xf>
    <xf numFmtId="0" fontId="0" fillId="2" borderId="26" xfId="0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9" xfId="0" applyFill="1" applyBorder="1" applyAlignment="1" applyProtection="1">
      <alignment horizontal="center"/>
      <protection locked="0"/>
    </xf>
    <xf numFmtId="0" fontId="0" fillId="2" borderId="43" xfId="0" applyFill="1" applyBorder="1" applyAlignment="1" applyProtection="1">
      <alignment horizontal="center"/>
      <protection locked="0"/>
    </xf>
    <xf numFmtId="0" fontId="0" fillId="2" borderId="44" xfId="0" applyFill="1" applyBorder="1" applyAlignment="1" applyProtection="1">
      <alignment horizontal="center"/>
      <protection locked="0"/>
    </xf>
    <xf numFmtId="0" fontId="0" fillId="2" borderId="45" xfId="0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theme="9" tint="0.79989013336588644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1"/>
  <sheetViews>
    <sheetView showGridLines="0" tabSelected="1" topLeftCell="A6" zoomScale="113" zoomScaleNormal="120" workbookViewId="0">
      <selection activeCell="K21" sqref="K21"/>
    </sheetView>
  </sheetViews>
  <sheetFormatPr baseColWidth="10" defaultColWidth="11.5" defaultRowHeight="13" x14ac:dyDescent="0.15"/>
  <cols>
    <col min="1" max="1" width="3.5" style="1" customWidth="1"/>
    <col min="2" max="2" width="10.5" customWidth="1"/>
    <col min="3" max="3" width="14" customWidth="1"/>
    <col min="4" max="5" width="9" customWidth="1"/>
    <col min="6" max="7" width="10.83203125" customWidth="1"/>
    <col min="8" max="8" width="4.1640625" customWidth="1"/>
    <col min="9" max="9" width="3.83203125" style="1" customWidth="1"/>
    <col min="10" max="10" width="30.5" customWidth="1"/>
    <col min="11" max="11" width="4" style="2" customWidth="1"/>
    <col min="12" max="12" width="35.5" customWidth="1"/>
    <col min="13" max="13" width="4" customWidth="1"/>
  </cols>
  <sheetData>
    <row r="1" spans="1:13" x14ac:dyDescent="0.15">
      <c r="I1"/>
      <c r="K1"/>
      <c r="M1" s="1"/>
    </row>
    <row r="2" spans="1:13" ht="36" x14ac:dyDescent="0.5">
      <c r="H2" s="39" t="s">
        <v>54</v>
      </c>
      <c r="I2"/>
      <c r="K2"/>
    </row>
    <row r="3" spans="1:13" x14ac:dyDescent="0.15">
      <c r="I3"/>
      <c r="K3"/>
    </row>
    <row r="4" spans="1:13" x14ac:dyDescent="0.15">
      <c r="I4"/>
      <c r="K4"/>
    </row>
    <row r="7" spans="1:13" ht="14" x14ac:dyDescent="0.15">
      <c r="B7" s="59" t="s">
        <v>0</v>
      </c>
      <c r="C7" s="59"/>
      <c r="D7" s="59"/>
      <c r="E7" s="59"/>
      <c r="F7" s="59"/>
      <c r="G7" s="59"/>
      <c r="J7" s="60" t="s">
        <v>1</v>
      </c>
      <c r="K7" s="60"/>
      <c r="L7" s="60"/>
    </row>
    <row r="8" spans="1:13" x14ac:dyDescent="0.15">
      <c r="B8" s="3"/>
      <c r="J8" s="3"/>
    </row>
    <row r="9" spans="1:13" x14ac:dyDescent="0.15">
      <c r="B9" s="4" t="s">
        <v>2</v>
      </c>
      <c r="C9" s="5" t="s">
        <v>3</v>
      </c>
      <c r="D9" s="5" t="s">
        <v>4</v>
      </c>
      <c r="E9" s="5"/>
      <c r="F9" s="5" t="s">
        <v>5</v>
      </c>
      <c r="G9" s="6"/>
      <c r="J9" s="7" t="s">
        <v>6</v>
      </c>
    </row>
    <row r="10" spans="1:13" x14ac:dyDescent="0.15">
      <c r="B10" s="8"/>
      <c r="C10" s="9"/>
      <c r="D10" s="10" t="s">
        <v>7</v>
      </c>
      <c r="E10" s="10" t="s">
        <v>8</v>
      </c>
      <c r="F10" s="10" t="s">
        <v>7</v>
      </c>
      <c r="G10" s="11" t="s">
        <v>8</v>
      </c>
    </row>
    <row r="11" spans="1:13" ht="14" x14ac:dyDescent="0.15">
      <c r="A11" s="1">
        <v>1</v>
      </c>
      <c r="B11" s="8" t="s">
        <v>9</v>
      </c>
      <c r="C11" s="12" t="s">
        <v>6</v>
      </c>
      <c r="D11" s="52"/>
      <c r="E11" s="53"/>
      <c r="F11" s="53"/>
      <c r="G11" s="54"/>
      <c r="H11" s="13" t="str">
        <f t="shared" ref="H11:H42" si="0">IF(AND(B11="",OR(C11&lt;&gt;"",D11&lt;&gt;"",E11&lt;&gt;"",F11&lt;&gt;"",G11&lt;&gt;"")),"A lorry must be selected",IF(AND(C11="",OR(D11&lt;&gt;"",E11&lt;&gt;"",F11&lt;&gt;"",G11&lt;&gt;"")),"A town must be selected",""))</f>
        <v/>
      </c>
      <c r="I11" s="1">
        <v>1</v>
      </c>
      <c r="J11" s="14" t="s">
        <v>10</v>
      </c>
      <c r="K11" s="56">
        <v>7</v>
      </c>
      <c r="L11" s="15" t="s">
        <v>11</v>
      </c>
    </row>
    <row r="12" spans="1:13" ht="14" x14ac:dyDescent="0.15">
      <c r="A12" s="1">
        <v>2</v>
      </c>
      <c r="B12" s="8" t="s">
        <v>12</v>
      </c>
      <c r="C12" s="12" t="s">
        <v>13</v>
      </c>
      <c r="D12" s="55"/>
      <c r="E12" s="42"/>
      <c r="F12" s="42"/>
      <c r="G12" s="43"/>
      <c r="H12" s="13" t="str">
        <f t="shared" si="0"/>
        <v/>
      </c>
      <c r="I12" s="1">
        <v>2</v>
      </c>
      <c r="J12" s="16" t="s">
        <v>14</v>
      </c>
      <c r="K12" s="57">
        <v>7</v>
      </c>
      <c r="L12" s="17" t="s">
        <v>15</v>
      </c>
    </row>
    <row r="13" spans="1:13" ht="14" x14ac:dyDescent="0.15">
      <c r="A13" s="1">
        <v>3</v>
      </c>
      <c r="B13" s="18" t="s">
        <v>16</v>
      </c>
      <c r="C13" s="19" t="s">
        <v>17</v>
      </c>
      <c r="D13" s="55"/>
      <c r="E13" s="42"/>
      <c r="F13" s="42"/>
      <c r="G13" s="43"/>
      <c r="H13" s="13" t="str">
        <f t="shared" si="0"/>
        <v/>
      </c>
      <c r="I13" s="1">
        <v>3</v>
      </c>
      <c r="J13" s="16" t="s">
        <v>18</v>
      </c>
      <c r="K13" s="57"/>
      <c r="L13" s="17" t="s">
        <v>19</v>
      </c>
    </row>
    <row r="14" spans="1:13" ht="14" x14ac:dyDescent="0.15">
      <c r="A14" s="1">
        <v>4</v>
      </c>
      <c r="B14" s="40"/>
      <c r="C14" s="41"/>
      <c r="D14" s="42"/>
      <c r="E14" s="42"/>
      <c r="F14" s="42"/>
      <c r="G14" s="43"/>
      <c r="H14" s="13" t="str">
        <f t="shared" si="0"/>
        <v/>
      </c>
      <c r="I14" s="1">
        <v>4</v>
      </c>
      <c r="J14" s="16" t="s">
        <v>20</v>
      </c>
      <c r="K14" s="57"/>
      <c r="L14" s="17" t="s">
        <v>19</v>
      </c>
    </row>
    <row r="15" spans="1:13" ht="14" x14ac:dyDescent="0.15">
      <c r="A15" s="1">
        <v>5</v>
      </c>
      <c r="B15" s="44" t="s">
        <v>9</v>
      </c>
      <c r="C15" s="45" t="s">
        <v>6</v>
      </c>
      <c r="D15" s="42">
        <v>66</v>
      </c>
      <c r="E15" s="42"/>
      <c r="F15" s="42"/>
      <c r="G15" s="43"/>
      <c r="H15" s="13" t="str">
        <f t="shared" si="0"/>
        <v/>
      </c>
      <c r="I15" s="1">
        <v>5</v>
      </c>
      <c r="J15" s="16" t="s">
        <v>21</v>
      </c>
      <c r="K15" s="57">
        <v>7</v>
      </c>
      <c r="L15" s="17" t="s">
        <v>22</v>
      </c>
    </row>
    <row r="16" spans="1:13" ht="14" x14ac:dyDescent="0.15">
      <c r="A16" s="1">
        <v>6</v>
      </c>
      <c r="B16" s="44" t="s">
        <v>9</v>
      </c>
      <c r="C16" s="45" t="s">
        <v>17</v>
      </c>
      <c r="D16" s="42"/>
      <c r="E16" s="42"/>
      <c r="F16" s="42">
        <v>10</v>
      </c>
      <c r="G16" s="43"/>
      <c r="H16" s="13" t="str">
        <f t="shared" si="0"/>
        <v/>
      </c>
      <c r="I16" s="1">
        <v>6</v>
      </c>
      <c r="J16" s="16" t="s">
        <v>24</v>
      </c>
      <c r="K16" s="57"/>
      <c r="L16" s="17" t="s">
        <v>25</v>
      </c>
    </row>
    <row r="17" spans="1:16" ht="14" x14ac:dyDescent="0.15">
      <c r="A17" s="1">
        <v>7</v>
      </c>
      <c r="B17" s="44" t="s">
        <v>9</v>
      </c>
      <c r="C17" s="45" t="s">
        <v>30</v>
      </c>
      <c r="D17" s="42"/>
      <c r="E17" s="42"/>
      <c r="F17" s="42">
        <v>16</v>
      </c>
      <c r="G17" s="43"/>
      <c r="H17" s="13" t="str">
        <f t="shared" si="0"/>
        <v/>
      </c>
      <c r="I17" s="1">
        <v>7</v>
      </c>
      <c r="J17" s="20" t="s">
        <v>27</v>
      </c>
      <c r="K17" s="58"/>
      <c r="L17" s="21" t="s">
        <v>25</v>
      </c>
    </row>
    <row r="18" spans="1:16" ht="14" x14ac:dyDescent="0.15">
      <c r="A18" s="1">
        <v>8</v>
      </c>
      <c r="B18" s="44" t="s">
        <v>9</v>
      </c>
      <c r="C18" s="45" t="s">
        <v>34</v>
      </c>
      <c r="D18" s="42"/>
      <c r="E18" s="42"/>
      <c r="F18" s="42">
        <v>20</v>
      </c>
      <c r="G18" s="43"/>
      <c r="H18" s="13" t="str">
        <f t="shared" si="0"/>
        <v/>
      </c>
    </row>
    <row r="19" spans="1:16" ht="14" x14ac:dyDescent="0.15">
      <c r="A19" s="1">
        <v>9</v>
      </c>
      <c r="B19" s="44" t="s">
        <v>9</v>
      </c>
      <c r="C19" s="45" t="s">
        <v>33</v>
      </c>
      <c r="D19" s="42"/>
      <c r="E19" s="42"/>
      <c r="F19" s="42">
        <v>20</v>
      </c>
      <c r="G19" s="43"/>
      <c r="H19" s="13" t="str">
        <f t="shared" si="0"/>
        <v/>
      </c>
      <c r="J19" s="7" t="s">
        <v>13</v>
      </c>
    </row>
    <row r="20" spans="1:16" ht="14" x14ac:dyDescent="0.15">
      <c r="A20" s="1">
        <v>10</v>
      </c>
      <c r="B20" s="44"/>
      <c r="C20" s="45"/>
      <c r="D20" s="42"/>
      <c r="E20" s="42"/>
      <c r="F20" s="42"/>
      <c r="G20" s="43"/>
      <c r="H20" s="13" t="str">
        <f t="shared" si="0"/>
        <v/>
      </c>
    </row>
    <row r="21" spans="1:16" ht="14" x14ac:dyDescent="0.15">
      <c r="A21" s="1">
        <v>11</v>
      </c>
      <c r="B21" s="44" t="s">
        <v>16</v>
      </c>
      <c r="C21" s="45" t="s">
        <v>13</v>
      </c>
      <c r="D21" s="42"/>
      <c r="E21" s="42">
        <v>24</v>
      </c>
      <c r="F21" s="42"/>
      <c r="G21" s="43"/>
      <c r="H21" s="13" t="str">
        <f t="shared" si="0"/>
        <v/>
      </c>
      <c r="I21" s="1">
        <v>1</v>
      </c>
      <c r="J21" s="22" t="s">
        <v>28</v>
      </c>
      <c r="K21" s="56">
        <v>7</v>
      </c>
      <c r="L21" s="22" t="s">
        <v>29</v>
      </c>
    </row>
    <row r="22" spans="1:16" ht="14" x14ac:dyDescent="0.15">
      <c r="A22" s="1">
        <v>12</v>
      </c>
      <c r="B22" s="44" t="s">
        <v>16</v>
      </c>
      <c r="C22" s="45" t="s">
        <v>23</v>
      </c>
      <c r="D22" s="42"/>
      <c r="E22" s="42"/>
      <c r="F22" s="42"/>
      <c r="G22" s="43">
        <v>10</v>
      </c>
      <c r="H22" s="13" t="str">
        <f t="shared" si="0"/>
        <v/>
      </c>
      <c r="I22" s="1">
        <v>2</v>
      </c>
      <c r="J22" s="23" t="s">
        <v>31</v>
      </c>
      <c r="K22" s="57">
        <v>7</v>
      </c>
      <c r="L22" s="23" t="s">
        <v>15</v>
      </c>
    </row>
    <row r="23" spans="1:16" ht="14" x14ac:dyDescent="0.15">
      <c r="A23" s="1">
        <v>13</v>
      </c>
      <c r="B23" s="44" t="s">
        <v>16</v>
      </c>
      <c r="C23" s="45" t="s">
        <v>26</v>
      </c>
      <c r="D23" s="42"/>
      <c r="E23" s="42"/>
      <c r="F23" s="42"/>
      <c r="G23" s="43">
        <v>14</v>
      </c>
      <c r="H23" s="13" t="str">
        <f t="shared" si="0"/>
        <v/>
      </c>
      <c r="I23" s="1">
        <v>3</v>
      </c>
      <c r="J23" s="23" t="s">
        <v>18</v>
      </c>
      <c r="K23" s="57"/>
      <c r="L23" s="23" t="s">
        <v>19</v>
      </c>
      <c r="N23" t="str">
        <f>IF(AND(B23="",OR(C23&lt;&gt;"",D23&lt;&gt;"",E23&lt;&gt;"",F23&lt;&gt;"",G23&lt;&gt;"")),"A lorry must be selected",IF(AND(C23="",OR(D23&lt;&gt;"",E23&lt;&gt;"",F23&lt;&gt;"",G23&lt;&gt;"")),"A town must be selected",""))</f>
        <v/>
      </c>
      <c r="O23" t="str">
        <f>IF(AND(B23="",OR(C23&lt;&gt;"",D23&lt;&gt;"",E23&lt;&gt;"",F23&lt;&gt;"",G23&lt;&gt;"")),"A lorry must be selected","")</f>
        <v/>
      </c>
      <c r="P23" t="str">
        <f>IF(AND(C23&lt;&gt;"",OR(D23&lt;&gt;"",E23&lt;&gt;"",F23&lt;&gt;"",G23&lt;&gt;"")),"A town must be selected","")</f>
        <v>A town must be selected</v>
      </c>
    </row>
    <row r="24" spans="1:16" ht="14" x14ac:dyDescent="0.15">
      <c r="A24" s="1">
        <v>14</v>
      </c>
      <c r="B24" s="44"/>
      <c r="C24" s="45"/>
      <c r="D24" s="42"/>
      <c r="E24" s="42"/>
      <c r="F24" s="42"/>
      <c r="G24" s="43"/>
      <c r="H24" s="13" t="str">
        <f t="shared" si="0"/>
        <v/>
      </c>
      <c r="I24" s="1">
        <v>4</v>
      </c>
      <c r="J24" s="23" t="s">
        <v>20</v>
      </c>
      <c r="K24" s="57"/>
      <c r="L24" s="23" t="s">
        <v>19</v>
      </c>
    </row>
    <row r="25" spans="1:16" ht="14" x14ac:dyDescent="0.15">
      <c r="A25" s="1">
        <v>15</v>
      </c>
      <c r="B25" s="44" t="s">
        <v>12</v>
      </c>
      <c r="C25" s="45" t="s">
        <v>6</v>
      </c>
      <c r="D25" s="42">
        <v>66</v>
      </c>
      <c r="E25" s="42"/>
      <c r="F25" s="42"/>
      <c r="G25" s="43"/>
      <c r="H25" s="13" t="str">
        <f t="shared" si="0"/>
        <v/>
      </c>
      <c r="I25" s="1">
        <v>5</v>
      </c>
      <c r="J25" s="23" t="s">
        <v>35</v>
      </c>
      <c r="K25" s="57">
        <v>7</v>
      </c>
      <c r="L25" s="23" t="s">
        <v>22</v>
      </c>
    </row>
    <row r="26" spans="1:16" ht="14" x14ac:dyDescent="0.15">
      <c r="A26" s="1">
        <v>16</v>
      </c>
      <c r="B26" s="44" t="s">
        <v>12</v>
      </c>
      <c r="C26" s="45" t="s">
        <v>32</v>
      </c>
      <c r="D26" s="42"/>
      <c r="E26" s="42"/>
      <c r="F26" s="42">
        <v>16</v>
      </c>
      <c r="G26" s="43"/>
      <c r="H26" s="13" t="str">
        <f t="shared" si="0"/>
        <v/>
      </c>
      <c r="I26" s="1">
        <v>6</v>
      </c>
      <c r="J26" s="23" t="s">
        <v>36</v>
      </c>
      <c r="K26" s="57">
        <v>7</v>
      </c>
      <c r="L26" s="23" t="s">
        <v>37</v>
      </c>
    </row>
    <row r="27" spans="1:16" ht="14" x14ac:dyDescent="0.15">
      <c r="A27" s="1">
        <v>17</v>
      </c>
      <c r="B27" s="44" t="s">
        <v>12</v>
      </c>
      <c r="C27" s="45" t="s">
        <v>39</v>
      </c>
      <c r="D27" s="42"/>
      <c r="E27" s="42"/>
      <c r="F27" s="42">
        <v>20</v>
      </c>
      <c r="G27" s="43"/>
      <c r="H27" s="13" t="str">
        <f t="shared" si="0"/>
        <v/>
      </c>
      <c r="I27" s="1">
        <v>7</v>
      </c>
      <c r="J27" s="24" t="s">
        <v>38</v>
      </c>
      <c r="K27" s="58"/>
      <c r="L27" s="24" t="s">
        <v>25</v>
      </c>
    </row>
    <row r="28" spans="1:16" ht="14" x14ac:dyDescent="0.15">
      <c r="A28" s="1">
        <v>18</v>
      </c>
      <c r="B28" s="44" t="s">
        <v>12</v>
      </c>
      <c r="C28" s="45" t="s">
        <v>41</v>
      </c>
      <c r="D28" s="42"/>
      <c r="E28" s="42"/>
      <c r="F28" s="42">
        <v>30</v>
      </c>
      <c r="G28" s="43"/>
      <c r="H28" s="13" t="str">
        <f t="shared" si="0"/>
        <v/>
      </c>
      <c r="J28" s="1" t="s">
        <v>40</v>
      </c>
    </row>
    <row r="29" spans="1:16" ht="14" x14ac:dyDescent="0.15">
      <c r="A29" s="1">
        <v>19</v>
      </c>
      <c r="B29" s="44"/>
      <c r="C29" s="45"/>
      <c r="D29" s="42"/>
      <c r="E29" s="42"/>
      <c r="F29" s="42"/>
      <c r="G29" s="43"/>
      <c r="H29" s="13" t="str">
        <f t="shared" si="0"/>
        <v/>
      </c>
    </row>
    <row r="30" spans="1:16" ht="14" x14ac:dyDescent="0.15">
      <c r="A30" s="1">
        <v>20</v>
      </c>
      <c r="B30" s="44" t="s">
        <v>16</v>
      </c>
      <c r="C30" s="45" t="s">
        <v>6</v>
      </c>
      <c r="D30" s="42">
        <v>24</v>
      </c>
      <c r="E30" s="42"/>
      <c r="F30" s="42"/>
      <c r="G30" s="43"/>
      <c r="H30" s="13" t="str">
        <f t="shared" si="0"/>
        <v/>
      </c>
      <c r="J30" s="61" t="s">
        <v>42</v>
      </c>
      <c r="K30" s="61"/>
      <c r="L30" s="61"/>
    </row>
    <row r="31" spans="1:16" ht="14" x14ac:dyDescent="0.15">
      <c r="A31" s="1">
        <v>21</v>
      </c>
      <c r="B31" s="44" t="s">
        <v>16</v>
      </c>
      <c r="C31" s="45" t="s">
        <v>23</v>
      </c>
      <c r="D31" s="42"/>
      <c r="E31" s="42"/>
      <c r="F31" s="42">
        <v>10</v>
      </c>
      <c r="G31" s="43"/>
      <c r="H31" s="13" t="str">
        <f t="shared" si="0"/>
        <v/>
      </c>
    </row>
    <row r="32" spans="1:16" ht="14" x14ac:dyDescent="0.15">
      <c r="A32" s="1">
        <v>22</v>
      </c>
      <c r="B32" s="44" t="s">
        <v>16</v>
      </c>
      <c r="C32" s="45" t="s">
        <v>26</v>
      </c>
      <c r="D32" s="42"/>
      <c r="E32" s="42"/>
      <c r="F32" s="42">
        <v>14</v>
      </c>
      <c r="G32" s="43"/>
      <c r="H32" s="13" t="str">
        <f t="shared" si="0"/>
        <v/>
      </c>
      <c r="I32" s="1">
        <v>1</v>
      </c>
      <c r="J32" s="25" t="s">
        <v>43</v>
      </c>
      <c r="K32" s="56">
        <v>60</v>
      </c>
      <c r="L32" s="25" t="s">
        <v>25</v>
      </c>
    </row>
    <row r="33" spans="1:13" ht="14" x14ac:dyDescent="0.15">
      <c r="A33" s="1">
        <v>23</v>
      </c>
      <c r="B33" s="44"/>
      <c r="C33" s="45"/>
      <c r="D33" s="42"/>
      <c r="E33" s="42"/>
      <c r="F33" s="42"/>
      <c r="G33" s="43"/>
      <c r="H33" s="13" t="str">
        <f t="shared" si="0"/>
        <v/>
      </c>
      <c r="I33" s="1">
        <v>2</v>
      </c>
      <c r="J33" s="26" t="s">
        <v>44</v>
      </c>
      <c r="K33" s="57">
        <v>3</v>
      </c>
      <c r="L33" s="26" t="s">
        <v>25</v>
      </c>
    </row>
    <row r="34" spans="1:13" ht="14" x14ac:dyDescent="0.15">
      <c r="A34" s="1">
        <v>24</v>
      </c>
      <c r="B34" s="44" t="s">
        <v>9</v>
      </c>
      <c r="C34" s="45" t="s">
        <v>13</v>
      </c>
      <c r="D34" s="42"/>
      <c r="E34" s="42">
        <v>50</v>
      </c>
      <c r="F34" s="42"/>
      <c r="G34" s="43"/>
      <c r="H34" s="13" t="str">
        <f t="shared" si="0"/>
        <v/>
      </c>
      <c r="I34" s="1">
        <v>3</v>
      </c>
      <c r="J34" s="27" t="s">
        <v>45</v>
      </c>
      <c r="K34" s="58">
        <v>12</v>
      </c>
      <c r="L34" s="27" t="s">
        <v>25</v>
      </c>
    </row>
    <row r="35" spans="1:13" ht="14" x14ac:dyDescent="0.15">
      <c r="A35" s="1">
        <v>25</v>
      </c>
      <c r="B35" s="44" t="s">
        <v>9</v>
      </c>
      <c r="C35" s="45" t="s">
        <v>17</v>
      </c>
      <c r="D35" s="42"/>
      <c r="E35" s="42"/>
      <c r="F35" s="42"/>
      <c r="G35" s="43">
        <v>10</v>
      </c>
      <c r="H35" s="13" t="str">
        <f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46</v>
      </c>
    </row>
    <row r="36" spans="1:13" ht="14" x14ac:dyDescent="0.15">
      <c r="A36" s="1">
        <v>26</v>
      </c>
      <c r="B36" s="44" t="s">
        <v>9</v>
      </c>
      <c r="C36" s="45" t="s">
        <v>30</v>
      </c>
      <c r="D36" s="42"/>
      <c r="E36" s="42"/>
      <c r="F36" s="42"/>
      <c r="G36" s="43">
        <v>10</v>
      </c>
      <c r="H36" s="13" t="str">
        <f>IF(AND(B36="",OR(C36&lt;&gt;"",D36&lt;&gt;"",E36&lt;&gt;"",F36&lt;&gt;"",G36&lt;&gt;"")),"A lorry must be selected",IF(AND(C36="",OR(D36&lt;&gt;"",E36&lt;&gt;"",F36&lt;&gt;"",G36&lt;&gt;"")),"A town must be selected",""))</f>
        <v/>
      </c>
    </row>
    <row r="37" spans="1:13" ht="14" x14ac:dyDescent="0.15">
      <c r="A37" s="1">
        <v>27</v>
      </c>
      <c r="B37" s="44" t="s">
        <v>9</v>
      </c>
      <c r="C37" s="45" t="s">
        <v>34</v>
      </c>
      <c r="D37" s="42"/>
      <c r="E37" s="42"/>
      <c r="F37" s="42"/>
      <c r="G37" s="43">
        <v>20</v>
      </c>
      <c r="H37" s="13" t="str">
        <f>IF(AND(B37="",OR(C37&lt;&gt;"",D37&lt;&gt;"",E37&lt;&gt;"",F37&lt;&gt;"",G37&lt;&gt;"")),"A lorry must be selected",IF(AND(C37="",OR(D37&lt;&gt;"",E37&lt;&gt;"",F37&lt;&gt;"",G37&lt;&gt;"")),"A town must be selected",""))</f>
        <v/>
      </c>
      <c r="J37" s="62" t="s">
        <v>55</v>
      </c>
      <c r="K37" s="62"/>
      <c r="L37" s="62"/>
    </row>
    <row r="38" spans="1:13" ht="14" x14ac:dyDescent="0.15">
      <c r="A38" s="1">
        <v>28</v>
      </c>
      <c r="B38" s="44" t="s">
        <v>9</v>
      </c>
      <c r="C38" s="45" t="s">
        <v>33</v>
      </c>
      <c r="D38" s="42"/>
      <c r="E38" s="42"/>
      <c r="F38" s="42"/>
      <c r="G38" s="43">
        <v>10</v>
      </c>
      <c r="H38" s="13" t="str">
        <f>IF(AND(B38="",OR(C38&lt;&gt;"",D38&lt;&gt;"",E38&lt;&gt;"",F38&lt;&gt;"",G38&lt;&gt;"")),"A lorry must be selected",IF(AND(C38="",OR(D38&lt;&gt;"",E38&lt;&gt;"",F38&lt;&gt;"",G38&lt;&gt;"")),"A town must be selected",""))</f>
        <v/>
      </c>
    </row>
    <row r="39" spans="1:13" ht="14" x14ac:dyDescent="0.15">
      <c r="A39" s="1">
        <v>29</v>
      </c>
      <c r="B39" s="44"/>
      <c r="C39" s="45"/>
      <c r="D39" s="42"/>
      <c r="E39" s="42"/>
      <c r="F39" s="42"/>
      <c r="G39" s="43"/>
      <c r="H39" s="13" t="str">
        <f t="shared" si="0"/>
        <v/>
      </c>
      <c r="J39" s="28" t="s">
        <v>47</v>
      </c>
    </row>
    <row r="40" spans="1:13" ht="14" x14ac:dyDescent="0.15">
      <c r="A40" s="1">
        <v>30</v>
      </c>
      <c r="B40" s="44" t="s">
        <v>12</v>
      </c>
      <c r="C40" s="45" t="s">
        <v>13</v>
      </c>
      <c r="D40" s="42"/>
      <c r="E40" s="42">
        <v>50</v>
      </c>
      <c r="F40" s="42"/>
      <c r="G40" s="43"/>
      <c r="H40" s="13" t="str">
        <f t="shared" si="0"/>
        <v/>
      </c>
    </row>
    <row r="41" spans="1:13" ht="14" x14ac:dyDescent="0.15">
      <c r="A41" s="29">
        <v>31</v>
      </c>
      <c r="B41" s="44" t="s">
        <v>12</v>
      </c>
      <c r="C41" s="45" t="s">
        <v>32</v>
      </c>
      <c r="D41" s="42"/>
      <c r="E41" s="42"/>
      <c r="F41" s="42"/>
      <c r="G41" s="42">
        <v>16</v>
      </c>
      <c r="H41" s="13" t="str">
        <f t="shared" si="0"/>
        <v/>
      </c>
      <c r="I41" s="29">
        <v>1</v>
      </c>
      <c r="J41" s="30" t="s">
        <v>48</v>
      </c>
      <c r="K41" s="56">
        <v>15</v>
      </c>
      <c r="L41" s="30" t="s">
        <v>49</v>
      </c>
      <c r="M41" s="31"/>
    </row>
    <row r="42" spans="1:13" ht="14" x14ac:dyDescent="0.15">
      <c r="A42" s="1">
        <v>32</v>
      </c>
      <c r="B42" s="44" t="s">
        <v>12</v>
      </c>
      <c r="C42" s="45" t="s">
        <v>39</v>
      </c>
      <c r="D42" s="42"/>
      <c r="E42" s="42"/>
      <c r="F42" s="42"/>
      <c r="G42" s="42">
        <v>14</v>
      </c>
      <c r="H42" s="13" t="str">
        <f t="shared" si="0"/>
        <v/>
      </c>
      <c r="I42" s="1">
        <v>2</v>
      </c>
      <c r="J42" s="32" t="s">
        <v>18</v>
      </c>
      <c r="K42" s="57"/>
      <c r="L42" s="32" t="s">
        <v>19</v>
      </c>
    </row>
    <row r="43" spans="1:13" ht="14" x14ac:dyDescent="0.15">
      <c r="A43" s="1">
        <v>33</v>
      </c>
      <c r="B43" s="44" t="s">
        <v>12</v>
      </c>
      <c r="C43" s="45" t="s">
        <v>41</v>
      </c>
      <c r="D43" s="42"/>
      <c r="E43" s="42"/>
      <c r="F43" s="42"/>
      <c r="G43" s="42">
        <v>20</v>
      </c>
      <c r="H43" s="13" t="str">
        <f t="shared" ref="H43:H70" si="1">IF(AND(B43="",OR(C43&lt;&gt;"",D43&lt;&gt;"",E43&lt;&gt;"",F43&lt;&gt;"",G43&lt;&gt;"")),"A lorry must be selected",IF(AND(C43="",OR(D43&lt;&gt;"",E43&lt;&gt;"",F43&lt;&gt;"",G43&lt;&gt;"")),"A town must be selected",""))</f>
        <v/>
      </c>
      <c r="I43" s="1">
        <v>3</v>
      </c>
      <c r="J43" s="32" t="s">
        <v>20</v>
      </c>
      <c r="K43" s="57"/>
      <c r="L43" s="32" t="s">
        <v>19</v>
      </c>
    </row>
    <row r="44" spans="1:13" ht="14" x14ac:dyDescent="0.15">
      <c r="A44" s="1">
        <v>34</v>
      </c>
      <c r="B44" s="44"/>
      <c r="C44" s="45"/>
      <c r="D44" s="42"/>
      <c r="E44" s="42"/>
      <c r="F44" s="42"/>
      <c r="G44" s="43"/>
      <c r="H44" s="13" t="str">
        <f t="shared" si="1"/>
        <v/>
      </c>
      <c r="I44" s="1">
        <v>4</v>
      </c>
      <c r="J44" s="32" t="s">
        <v>50</v>
      </c>
      <c r="K44" s="57"/>
      <c r="L44" s="32" t="s">
        <v>25</v>
      </c>
    </row>
    <row r="45" spans="1:13" ht="14" x14ac:dyDescent="0.15">
      <c r="A45" s="1">
        <v>35</v>
      </c>
      <c r="B45" s="44"/>
      <c r="C45" s="45"/>
      <c r="D45" s="42"/>
      <c r="E45" s="42"/>
      <c r="F45" s="42"/>
      <c r="G45" s="43"/>
      <c r="H45" s="13" t="str">
        <f t="shared" si="1"/>
        <v/>
      </c>
      <c r="I45" s="1">
        <v>5</v>
      </c>
      <c r="J45" s="33" t="s">
        <v>51</v>
      </c>
      <c r="K45" s="58"/>
      <c r="L45" s="33" t="s">
        <v>25</v>
      </c>
    </row>
    <row r="46" spans="1:13" ht="14" x14ac:dyDescent="0.15">
      <c r="A46" s="1">
        <v>36</v>
      </c>
      <c r="B46" s="44"/>
      <c r="C46" s="45"/>
      <c r="D46" s="42"/>
      <c r="E46" s="42"/>
      <c r="F46" s="42"/>
      <c r="G46" s="43"/>
      <c r="H46" s="13" t="str">
        <f t="shared" si="1"/>
        <v/>
      </c>
      <c r="J46" s="1" t="s">
        <v>52</v>
      </c>
    </row>
    <row r="47" spans="1:13" ht="14" x14ac:dyDescent="0.15">
      <c r="A47" s="1">
        <v>37</v>
      </c>
      <c r="B47" s="44"/>
      <c r="C47" s="45"/>
      <c r="D47" s="42"/>
      <c r="E47" s="42"/>
      <c r="F47" s="42"/>
      <c r="G47" s="43"/>
      <c r="H47" s="13" t="str">
        <f t="shared" si="1"/>
        <v/>
      </c>
    </row>
    <row r="48" spans="1:13" ht="14" x14ac:dyDescent="0.15">
      <c r="A48" s="1">
        <v>38</v>
      </c>
      <c r="B48" s="44"/>
      <c r="C48" s="45"/>
      <c r="D48" s="42"/>
      <c r="E48" s="42"/>
      <c r="F48" s="42"/>
      <c r="G48" s="43"/>
      <c r="H48" s="13" t="str">
        <f t="shared" si="1"/>
        <v/>
      </c>
    </row>
    <row r="49" spans="1:8" ht="14" x14ac:dyDescent="0.15">
      <c r="A49" s="1">
        <v>39</v>
      </c>
      <c r="B49" s="44"/>
      <c r="C49" s="45"/>
      <c r="D49" s="42"/>
      <c r="E49" s="42"/>
      <c r="F49" s="42"/>
      <c r="G49" s="43"/>
      <c r="H49" s="13" t="str">
        <f t="shared" si="1"/>
        <v/>
      </c>
    </row>
    <row r="50" spans="1:8" ht="14" x14ac:dyDescent="0.15">
      <c r="A50" s="1">
        <v>40</v>
      </c>
      <c r="B50" s="44"/>
      <c r="C50" s="45"/>
      <c r="D50" s="42"/>
      <c r="E50" s="42"/>
      <c r="F50" s="42"/>
      <c r="G50" s="43"/>
      <c r="H50" s="13" t="str">
        <f t="shared" si="1"/>
        <v/>
      </c>
    </row>
    <row r="51" spans="1:8" ht="14" x14ac:dyDescent="0.15">
      <c r="A51" s="1">
        <v>41</v>
      </c>
      <c r="B51" s="44"/>
      <c r="C51" s="45"/>
      <c r="D51" s="42"/>
      <c r="E51" s="42"/>
      <c r="F51" s="42"/>
      <c r="G51" s="43"/>
      <c r="H51" s="13" t="str">
        <f t="shared" si="1"/>
        <v/>
      </c>
    </row>
    <row r="52" spans="1:8" ht="14" x14ac:dyDescent="0.15">
      <c r="A52" s="1">
        <v>42</v>
      </c>
      <c r="B52" s="44"/>
      <c r="C52" s="45"/>
      <c r="D52" s="42"/>
      <c r="E52" s="42"/>
      <c r="F52" s="42"/>
      <c r="G52" s="43"/>
      <c r="H52" s="13" t="str">
        <f t="shared" si="1"/>
        <v/>
      </c>
    </row>
    <row r="53" spans="1:8" ht="14" x14ac:dyDescent="0.15">
      <c r="A53" s="1">
        <v>43</v>
      </c>
      <c r="B53" s="44"/>
      <c r="C53" s="45"/>
      <c r="D53" s="42"/>
      <c r="E53" s="42"/>
      <c r="F53" s="42"/>
      <c r="G53" s="43"/>
      <c r="H53" s="13" t="str">
        <f t="shared" si="1"/>
        <v/>
      </c>
    </row>
    <row r="54" spans="1:8" ht="14" x14ac:dyDescent="0.15">
      <c r="A54" s="1">
        <v>44</v>
      </c>
      <c r="B54" s="44"/>
      <c r="C54" s="45"/>
      <c r="D54" s="42"/>
      <c r="E54" s="42"/>
      <c r="F54" s="42"/>
      <c r="G54" s="43"/>
      <c r="H54" s="13" t="str">
        <f t="shared" si="1"/>
        <v/>
      </c>
    </row>
    <row r="55" spans="1:8" ht="14" x14ac:dyDescent="0.15">
      <c r="A55" s="1">
        <v>45</v>
      </c>
      <c r="B55" s="44"/>
      <c r="C55" s="45"/>
      <c r="D55" s="42"/>
      <c r="E55" s="42"/>
      <c r="F55" s="42"/>
      <c r="G55" s="43"/>
      <c r="H55" s="13" t="str">
        <f t="shared" si="1"/>
        <v/>
      </c>
    </row>
    <row r="56" spans="1:8" ht="14" x14ac:dyDescent="0.15">
      <c r="A56" s="1">
        <v>46</v>
      </c>
      <c r="B56" s="44"/>
      <c r="C56" s="45"/>
      <c r="D56" s="42"/>
      <c r="E56" s="42"/>
      <c r="F56" s="42"/>
      <c r="G56" s="43"/>
      <c r="H56" s="13" t="str">
        <f t="shared" si="1"/>
        <v/>
      </c>
    </row>
    <row r="57" spans="1:8" ht="14" x14ac:dyDescent="0.15">
      <c r="A57" s="1">
        <v>47</v>
      </c>
      <c r="B57" s="44"/>
      <c r="C57" s="45"/>
      <c r="D57" s="42"/>
      <c r="E57" s="42"/>
      <c r="F57" s="42"/>
      <c r="G57" s="43"/>
      <c r="H57" s="13" t="str">
        <f t="shared" si="1"/>
        <v/>
      </c>
    </row>
    <row r="58" spans="1:8" ht="14" x14ac:dyDescent="0.15">
      <c r="A58" s="1">
        <v>48</v>
      </c>
      <c r="B58" s="44"/>
      <c r="C58" s="45"/>
      <c r="D58" s="42"/>
      <c r="E58" s="42"/>
      <c r="F58" s="42"/>
      <c r="G58" s="43"/>
      <c r="H58" s="13" t="str">
        <f t="shared" si="1"/>
        <v/>
      </c>
    </row>
    <row r="59" spans="1:8" ht="14" x14ac:dyDescent="0.15">
      <c r="A59" s="1">
        <v>49</v>
      </c>
      <c r="B59" s="44"/>
      <c r="C59" s="45"/>
      <c r="D59" s="42"/>
      <c r="E59" s="42"/>
      <c r="F59" s="42"/>
      <c r="G59" s="43"/>
      <c r="H59" s="13" t="str">
        <f t="shared" si="1"/>
        <v/>
      </c>
    </row>
    <row r="60" spans="1:8" ht="14" x14ac:dyDescent="0.15">
      <c r="A60" s="1">
        <v>50</v>
      </c>
      <c r="B60" s="44"/>
      <c r="C60" s="45"/>
      <c r="D60" s="42"/>
      <c r="E60" s="42"/>
      <c r="F60" s="42"/>
      <c r="G60" s="43"/>
      <c r="H60" s="13" t="str">
        <f t="shared" si="1"/>
        <v/>
      </c>
    </row>
    <row r="61" spans="1:8" ht="14" x14ac:dyDescent="0.15">
      <c r="A61" s="1">
        <v>51</v>
      </c>
      <c r="B61" s="44"/>
      <c r="C61" s="45"/>
      <c r="D61" s="42"/>
      <c r="E61" s="42"/>
      <c r="F61" s="42"/>
      <c r="G61" s="43"/>
      <c r="H61" s="13" t="str">
        <f t="shared" si="1"/>
        <v/>
      </c>
    </row>
    <row r="62" spans="1:8" ht="14" x14ac:dyDescent="0.15">
      <c r="A62" s="1">
        <v>52</v>
      </c>
      <c r="B62" s="44"/>
      <c r="C62" s="45"/>
      <c r="D62" s="42"/>
      <c r="E62" s="42"/>
      <c r="F62" s="42"/>
      <c r="G62" s="43"/>
      <c r="H62" s="13" t="str">
        <f t="shared" si="1"/>
        <v/>
      </c>
    </row>
    <row r="63" spans="1:8" ht="14" x14ac:dyDescent="0.15">
      <c r="A63" s="1">
        <v>53</v>
      </c>
      <c r="B63" s="44"/>
      <c r="C63" s="45"/>
      <c r="D63" s="42"/>
      <c r="E63" s="42"/>
      <c r="F63" s="42"/>
      <c r="G63" s="43"/>
      <c r="H63" s="13" t="str">
        <f t="shared" si="1"/>
        <v/>
      </c>
    </row>
    <row r="64" spans="1:8" ht="14" x14ac:dyDescent="0.15">
      <c r="A64" s="1">
        <v>54</v>
      </c>
      <c r="B64" s="44"/>
      <c r="C64" s="45"/>
      <c r="D64" s="42"/>
      <c r="E64" s="42"/>
      <c r="F64" s="42"/>
      <c r="G64" s="43"/>
      <c r="H64" s="13" t="str">
        <f t="shared" si="1"/>
        <v/>
      </c>
    </row>
    <row r="65" spans="1:8" ht="14" x14ac:dyDescent="0.15">
      <c r="A65" s="1">
        <v>55</v>
      </c>
      <c r="B65" s="44"/>
      <c r="C65" s="45"/>
      <c r="D65" s="42"/>
      <c r="E65" s="42"/>
      <c r="F65" s="42"/>
      <c r="G65" s="43"/>
      <c r="H65" s="13" t="str">
        <f t="shared" si="1"/>
        <v/>
      </c>
    </row>
    <row r="66" spans="1:8" ht="14" x14ac:dyDescent="0.15">
      <c r="A66" s="1">
        <v>56</v>
      </c>
      <c r="B66" s="44"/>
      <c r="C66" s="45"/>
      <c r="D66" s="42"/>
      <c r="E66" s="42"/>
      <c r="F66" s="42"/>
      <c r="G66" s="43"/>
      <c r="H66" s="13" t="str">
        <f t="shared" si="1"/>
        <v/>
      </c>
    </row>
    <row r="67" spans="1:8" ht="14" x14ac:dyDescent="0.15">
      <c r="A67" s="1">
        <v>57</v>
      </c>
      <c r="B67" s="46"/>
      <c r="C67" s="47"/>
      <c r="D67" s="42"/>
      <c r="E67" s="42"/>
      <c r="F67" s="42"/>
      <c r="G67" s="43"/>
      <c r="H67" s="13" t="str">
        <f t="shared" si="1"/>
        <v/>
      </c>
    </row>
    <row r="68" spans="1:8" ht="14" x14ac:dyDescent="0.15">
      <c r="A68" s="1">
        <v>58</v>
      </c>
      <c r="B68" s="34" t="s">
        <v>9</v>
      </c>
      <c r="C68" s="35" t="s">
        <v>6</v>
      </c>
      <c r="D68" s="48"/>
      <c r="E68" s="42"/>
      <c r="F68" s="42"/>
      <c r="G68" s="43"/>
      <c r="H68" s="13" t="str">
        <f t="shared" si="1"/>
        <v/>
      </c>
    </row>
    <row r="69" spans="1:8" ht="14" x14ac:dyDescent="0.15">
      <c r="A69" s="1">
        <v>59</v>
      </c>
      <c r="B69" s="8" t="s">
        <v>12</v>
      </c>
      <c r="C69" s="36" t="s">
        <v>13</v>
      </c>
      <c r="D69" s="48"/>
      <c r="E69" s="42"/>
      <c r="F69" s="42"/>
      <c r="G69" s="43"/>
      <c r="H69" s="13" t="str">
        <f t="shared" si="1"/>
        <v/>
      </c>
    </row>
    <row r="70" spans="1:8" ht="14" x14ac:dyDescent="0.15">
      <c r="A70" s="1">
        <v>60</v>
      </c>
      <c r="B70" s="37" t="s">
        <v>16</v>
      </c>
      <c r="C70" s="38" t="s">
        <v>17</v>
      </c>
      <c r="D70" s="49"/>
      <c r="E70" s="50"/>
      <c r="F70" s="50"/>
      <c r="G70" s="51"/>
      <c r="H70" s="13" t="str">
        <f t="shared" si="1"/>
        <v/>
      </c>
    </row>
    <row r="71" spans="1:8" x14ac:dyDescent="0.15">
      <c r="B71" s="1" t="s">
        <v>53</v>
      </c>
    </row>
  </sheetData>
  <sheetProtection sheet="1" objects="1" scenarios="1" selectLockedCells="1"/>
  <mergeCells count="4">
    <mergeCell ref="B7:G7"/>
    <mergeCell ref="J7:L7"/>
    <mergeCell ref="J30:L30"/>
    <mergeCell ref="J37:L37"/>
  </mergeCells>
  <conditionalFormatting sqref="B14:B29 B32:B33 B39 B44:B67">
    <cfRule type="expression" dxfId="8" priority="10">
      <formula>LEFT($H14,3)="A l"</formula>
    </cfRule>
  </conditionalFormatting>
  <conditionalFormatting sqref="C14:C29 C32:C33 C39 C44:C67">
    <cfRule type="expression" dxfId="7" priority="9">
      <formula>LEFT($H14,3)="A t"</formula>
    </cfRule>
  </conditionalFormatting>
  <conditionalFormatting sqref="H11:H70">
    <cfRule type="expression" dxfId="6" priority="8">
      <formula>$H11&lt;&gt;""</formula>
    </cfRule>
  </conditionalFormatting>
  <conditionalFormatting sqref="B30:B31">
    <cfRule type="expression" dxfId="5" priority="6">
      <formula>LEFT($H30,3)="A l"</formula>
    </cfRule>
  </conditionalFormatting>
  <conditionalFormatting sqref="C30:C31">
    <cfRule type="expression" dxfId="4" priority="5">
      <formula>LEFT($H30,3)="A t"</formula>
    </cfRule>
  </conditionalFormatting>
  <conditionalFormatting sqref="B34:B38">
    <cfRule type="expression" dxfId="3" priority="4">
      <formula>LEFT($H34,3)="A l"</formula>
    </cfRule>
  </conditionalFormatting>
  <conditionalFormatting sqref="C34:C38">
    <cfRule type="expression" dxfId="2" priority="3">
      <formula>LEFT($H34,3)="A t"</formula>
    </cfRule>
  </conditionalFormatting>
  <conditionalFormatting sqref="B40:B43">
    <cfRule type="expression" dxfId="1" priority="2">
      <formula>LEFT($H40,3)="A l"</formula>
    </cfRule>
  </conditionalFormatting>
  <conditionalFormatting sqref="C40:C43">
    <cfRule type="expression" dxfId="0" priority="1">
      <formula>LEFT($H40,3)="A t"</formula>
    </cfRule>
  </conditionalFormatting>
  <dataValidations count="4">
    <dataValidation type="whole" operator="greaterThanOrEqual" allowBlank="1" showInputMessage="1" showErrorMessage="1" sqref="D11:G70 K11:K17 K21:K27 K32:K34 K41:K45" xr:uid="{00000000-0002-0000-0000-000000000000}">
      <formula1>0</formula1>
      <formula2>0</formula2>
    </dataValidation>
    <dataValidation type="list" allowBlank="1" showInputMessage="1" showErrorMessage="1" sqref="B15:B67" xr:uid="{00000000-0002-0000-0000-000001000000}">
      <formula1>"Lorry 1,Lorry 2,Lorry 3"</formula1>
      <formula2>0</formula2>
    </dataValidation>
    <dataValidation type="list" allowBlank="1" showInputMessage="1" showErrorMessage="1" sqref="C14:C67" xr:uid="{00000000-0002-0000-0000-000002000000}">
      <formula1>"Arnhem factory,Vesoul factory,Paris,Berlin,Bucharest,Budapest,Kemijarvi,Madrid,Milan,Rauma,Rome,Warsaw"</formula1>
      <formula2>0</formula2>
    </dataValidation>
    <dataValidation type="list" allowBlank="1" showInputMessage="1" showErrorMessage="1" sqref="B14" xr:uid="{00000000-0002-0000-0000-000003000000}">
      <formula1>"Lorry 1,Lorry 2,Lorry 3,"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fitToHeight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1088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decision_template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FALLOT PIERRE</dc:creator>
  <dc:description/>
  <cp:lastModifiedBy>Microsoft Office User</cp:lastModifiedBy>
  <cp:revision>31</cp:revision>
  <dcterms:created xsi:type="dcterms:W3CDTF">2025-04-03T13:56:53Z</dcterms:created>
  <dcterms:modified xsi:type="dcterms:W3CDTF">2026-01-08T10:58:11Z</dcterms:modified>
  <dc:language>en-SG</dc:language>
</cp:coreProperties>
</file>